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Week 01" sheetId="2" state="visible" r:id="rId4"/>
    <sheet name="Week 02" sheetId="3" state="visible" r:id="rId5"/>
    <sheet name="Week 03" sheetId="4" state="visible" r:id="rId6"/>
    <sheet name="Week 04" sheetId="5" state="visible" r:id="rId7"/>
    <sheet name="Week 05" sheetId="6" state="visible" r:id="rId8"/>
    <sheet name="Week 06" sheetId="7" state="visible" r:id="rId9"/>
    <sheet name="Week 07" sheetId="8" state="visible" r:id="rId10"/>
    <sheet name="Week 08" sheetId="9" state="visible" r:id="rId11"/>
    <sheet name="Week 09" sheetId="10" state="visible" r:id="rId12"/>
    <sheet name="Week 10" sheetId="11" state="visible" r:id="rId13"/>
    <sheet name="Week 11" sheetId="12" state="visible" r:id="rId14"/>
    <sheet name="Week 12" sheetId="13" state="visible" r:id="rId15"/>
    <sheet name="Week 13" sheetId="14" state="visible" r:id="rId16"/>
  </sheets>
  <definedNames>
    <definedName function="false" hidden="false" localSheetId="1" name="_xlnm.Print_Titles" vbProcedure="false">'Week 01'!$1:$4</definedName>
    <definedName function="false" hidden="true" localSheetId="1" name="_xlnm._FilterDatabase" vbProcedure="false">'Week 01'!$A$4:$E$40</definedName>
    <definedName function="false" hidden="false" localSheetId="2" name="_xlnm.Print_Titles" vbProcedure="false">'Week 02'!$1:$4</definedName>
    <definedName function="false" hidden="true" localSheetId="2" name="_xlnm._FilterDatabase" vbProcedure="false">'Week 02'!$A$4:$E$38</definedName>
    <definedName function="false" hidden="false" localSheetId="3" name="_xlnm.Print_Titles" vbProcedure="false">'Week 03'!$1:$4</definedName>
    <definedName function="false" hidden="true" localSheetId="3" name="_xlnm._FilterDatabase" vbProcedure="false">'Week 03'!$A$4:$E$38</definedName>
    <definedName function="false" hidden="false" localSheetId="4" name="_xlnm.Print_Titles" vbProcedure="false">'Week 04'!$1:$4</definedName>
    <definedName function="false" hidden="true" localSheetId="4" name="_xlnm._FilterDatabase" vbProcedure="false">'Week 04'!$A$4:$E$38</definedName>
    <definedName function="false" hidden="false" localSheetId="5" name="_xlnm.Print_Titles" vbProcedure="false">'Week 05'!$1:$4</definedName>
    <definedName function="false" hidden="true" localSheetId="5" name="_xlnm._FilterDatabase" vbProcedure="false">'Week 05'!$A$4:$E$35</definedName>
    <definedName function="false" hidden="false" localSheetId="6" name="_xlnm.Print_Titles" vbProcedure="false">'Week 06'!$1:$4</definedName>
    <definedName function="false" hidden="true" localSheetId="6" name="_xlnm._FilterDatabase" vbProcedure="false">'Week 06'!$A$4:$E$37</definedName>
    <definedName function="false" hidden="false" localSheetId="7" name="_xlnm.Print_Titles" vbProcedure="false">'Week 07'!$1:$4</definedName>
    <definedName function="false" hidden="true" localSheetId="7" name="_xlnm._FilterDatabase" vbProcedure="false">'Week 07'!$A$4:$E$37</definedName>
    <definedName function="false" hidden="false" localSheetId="8" name="_xlnm.Print_Titles" vbProcedure="false">'Week 08'!$1:$4</definedName>
    <definedName function="false" hidden="true" localSheetId="8" name="_xlnm._FilterDatabase" vbProcedure="false">'Week 08'!$A$4:$E$37</definedName>
    <definedName function="false" hidden="false" localSheetId="9" name="_xlnm.Print_Titles" vbProcedure="false">'Week 09'!$1:$4</definedName>
    <definedName function="false" hidden="true" localSheetId="9" name="_xlnm._FilterDatabase" vbProcedure="false">'Week 09'!$A$4:$E$37</definedName>
    <definedName function="false" hidden="false" localSheetId="10" name="_xlnm.Print_Titles" vbProcedure="false">'Week 10'!$1:$4</definedName>
    <definedName function="false" hidden="true" localSheetId="10" name="_xlnm._FilterDatabase" vbProcedure="false">'Week 10'!$A$4:$E$35</definedName>
    <definedName function="false" hidden="false" localSheetId="11" name="_xlnm.Print_Titles" vbProcedure="false">'Week 11'!$1:$4</definedName>
    <definedName function="false" hidden="true" localSheetId="11" name="_xlnm._FilterDatabase" vbProcedure="false">'Week 11'!$A$4:$E$31</definedName>
    <definedName function="false" hidden="false" localSheetId="12" name="_xlnm.Print_Titles" vbProcedure="false">'Week 12'!$1:$4</definedName>
    <definedName function="false" hidden="true" localSheetId="12" name="_xlnm._FilterDatabase" vbProcedure="false">'Week 12'!$A$4:$E$28</definedName>
    <definedName function="false" hidden="false" localSheetId="13" name="_xlnm.Print_Titles" vbProcedure="false">'Week 13'!$1:$4</definedName>
    <definedName function="false" hidden="true" localSheetId="13" name="_xlnm._FilterDatabase" vbProcedure="false">'Week 13'!$A$4:$E$18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<sst xmlns="http://schemas.openxmlformats.org/spreadsheetml/2006/main" count="1346" uniqueCount="198">
  <si>
    <t xml:space="preserve">TRAINING MAXES</t>
  </si>
  <si>
    <t xml:space="preserve">Lift</t>
  </si>
  <si>
    <t xml:space="preserve">Training Max (lb)</t>
  </si>
  <si>
    <t xml:space="preserve">Back Squat TM</t>
  </si>
  <si>
    <t xml:space="preserve">Deadlift TM</t>
  </si>
  <si>
    <t xml:space="preserve">Bench Press TM</t>
  </si>
  <si>
    <t xml:space="preserve">Flat Bench Press (placeholder—replace)</t>
  </si>
  <si>
    <t xml:space="preserve">Values shown are 90% of the source workbook’s current 1RMs (335 squat / 410 deadlift / 225 bench). Edit the blue TM cells B3:B5; all %TM loads recalculate and round to nearest 5 lb.</t>
  </si>
  <si>
    <t xml:space="preserve">The 1.5-rep deadlift (knee height) variation starts at 60% of estimated true 1RM (66.7% TM) and adds 5 lb/week when clean and ≤RPE 7. Deloads reduce load and sets.</t>
  </si>
  <si>
    <t xml:space="preserve">Secondary squat loading (use Back Squat TM in B3): Weeks 1–4 paused squat starts at 70% TM and adds $5 per week; Week 5 deload is 55% TM; Week 6 resumes at base +$20. Weeks 7–9 high-bar squat starts at 75% TM and adds $5/week; Week 10 deload is 60% TM; Week 11 resumes at base +$15. Week 12 stays at the existing easy taper prescription.</t>
  </si>
  <si>
    <t xml:space="preserve">WEEK 01 | ACCUMULATION</t>
  </si>
  <si>
    <t xml:space="preserve">Target loads use the editable training maxes on Inputs. Main-lift percentages are %TM, rounded to nearest 5 lb. RPE caps and technique take priority over load. Squat top single: updated per block to 85–87% TM (W1–4) or 90–92% TM (W6–9); existing back-offs retained. Secondary squat: Weeks 1–6 paused squat; Weeks 7–12 high-bar squat. Secondary squat: progressive fixed loads per Inputs A9; deloads stay easy.</t>
  </si>
  <si>
    <t xml:space="preserve">Day / Exercise</t>
  </si>
  <si>
    <t xml:space="preserve">Sets × Reps</t>
  </si>
  <si>
    <t xml:space="preserve">Intensity (%TM)</t>
  </si>
  <si>
    <t xml:space="preserve">Target Load (lb)</t>
  </si>
  <si>
    <t xml:space="preserve">RPE / Effort</t>
  </si>
  <si>
    <t xml:space="preserve">DAY 1 — SQUAT</t>
  </si>
  <si>
    <t xml:space="preserve">Back squat — top single</t>
  </si>
  <si>
    <t xml:space="preserve">1 x 1</t>
  </si>
  <si>
    <t xml:space="preserve">RPE 7.5–8; smooth single, no grind</t>
  </si>
  <si>
    <t xml:space="preserve">Back squat — back-off</t>
  </si>
  <si>
    <t xml:space="preserve">4 x 4</t>
  </si>
  <si>
    <t xml:space="preserve">RPE 7</t>
  </si>
  <si>
    <t xml:space="preserve">Bulgarian split squat</t>
  </si>
  <si>
    <t xml:space="preserve">3 x 10/leg</t>
  </si>
  <si>
    <t xml:space="preserve">RPE-based</t>
  </si>
  <si>
    <t xml:space="preserve">Select by RPE</t>
  </si>
  <si>
    <t xml:space="preserve">Seated leg curl</t>
  </si>
  <si>
    <t xml:space="preserve">3 x 12</t>
  </si>
  <si>
    <t xml:space="preserve">Pallof press</t>
  </si>
  <si>
    <t xml:space="preserve">3 x 10/side</t>
  </si>
  <si>
    <t xml:space="preserve">Standing calf raise</t>
  </si>
  <si>
    <t xml:space="preserve">3 x 15</t>
  </si>
  <si>
    <t xml:space="preserve">DAY 2 — BENCH</t>
  </si>
  <si>
    <t xml:space="preserve">Bench press</t>
  </si>
  <si>
    <t xml:space="preserve">6 x 4</t>
  </si>
  <si>
    <t xml:space="preserve">Close-grip bench</t>
  </si>
  <si>
    <t xml:space="preserve">3 x 6</t>
  </si>
  <si>
    <t xml:space="preserve">Incline DB press</t>
  </si>
  <si>
    <t xml:space="preserve">Triceps pressdown</t>
  </si>
  <si>
    <t xml:space="preserve">Face pull</t>
  </si>
  <si>
    <t xml:space="preserve">DAY 3 — DEADLIFT</t>
  </si>
  <si>
    <t xml:space="preserve">Deadlift</t>
  </si>
  <si>
    <t xml:space="preserve">3 x 4</t>
  </si>
  <si>
    <t xml:space="preserve">1.5-rep deadlift (knee height)</t>
  </si>
  <si>
    <t xml:space="preserve">3 x 3</t>
  </si>
  <si>
    <t xml:space="preserve">Reset every rep; lower to just below knee, return to lockout, then lower fully. W1 60% true DL max; add +5 lb/week only if clean and ≤RPE 7. Deload: 2x3 @55% true max.</t>
  </si>
  <si>
    <t xml:space="preserve">Reverse hyper</t>
  </si>
  <si>
    <t xml:space="preserve">2 x 15</t>
  </si>
  <si>
    <t xml:space="preserve">Jefferson curl</t>
  </si>
  <si>
    <t xml:space="preserve">2 x 8</t>
  </si>
  <si>
    <t xml:space="preserve">DAY 4 — BENCH VARIANT / UPPER BODY</t>
  </si>
  <si>
    <t xml:space="preserve">Tempo bench (3-1-1)</t>
  </si>
  <si>
    <t xml:space="preserve">RPE 6-7</t>
  </si>
  <si>
    <t xml:space="preserve">Lat pulldown</t>
  </si>
  <si>
    <t xml:space="preserve">Lateral raise</t>
  </si>
  <si>
    <t xml:space="preserve">Curl</t>
  </si>
  <si>
    <t xml:space="preserve">DAY 5 — SQUAT VARIANT + BENT-OVER ROW</t>
  </si>
  <si>
    <t xml:space="preserve">Paused squat</t>
  </si>
  <si>
    <t xml:space="preserve">70% TM + $0</t>
  </si>
  <si>
    <t xml:space="preserve">RPE ≤8; clean reps; no grinding</t>
  </si>
  <si>
    <t xml:space="preserve">Bent-over row</t>
  </si>
  <si>
    <t xml:space="preserve">4 x 4–6</t>
  </si>
  <si>
    <t xml:space="preserve">RPE progression</t>
  </si>
  <si>
    <t xml:space="preserve">4 strict sets. Add 5 lb next exposure only when every set is clean and ≤RPE 8; deload load/reps, no failure.</t>
  </si>
  <si>
    <t xml:space="preserve">2 x 12</t>
  </si>
  <si>
    <t xml:space="preserve">GHR or Nordic curl</t>
  </si>
  <si>
    <t xml:space="preserve">3 x 8</t>
  </si>
  <si>
    <t xml:space="preserve">1 x 8</t>
  </si>
  <si>
    <t xml:space="preserve">WEEK 02 | ACCUMULATION</t>
  </si>
  <si>
    <t xml:space="preserve">5 x 4</t>
  </si>
  <si>
    <t xml:space="preserve">Leg curl</t>
  </si>
  <si>
    <t xml:space="preserve">Copenhagen plank</t>
  </si>
  <si>
    <t xml:space="preserve">3 x 20sec/side</t>
  </si>
  <si>
    <t xml:space="preserve">7 x 4</t>
  </si>
  <si>
    <t xml:space="preserve">Paused bench</t>
  </si>
  <si>
    <t xml:space="preserve">4 x 3</t>
  </si>
  <si>
    <t xml:space="preserve">3 x 5</t>
  </si>
  <si>
    <t xml:space="preserve">70% TM + $5</t>
  </si>
  <si>
    <t xml:space="preserve">WEEK 03 | ACCUMULATION</t>
  </si>
  <si>
    <t xml:space="preserve">Squat — top single</t>
  </si>
  <si>
    <t xml:space="preserve">Squat — back-off</t>
  </si>
  <si>
    <t xml:space="preserve">6 x 3</t>
  </si>
  <si>
    <t xml:space="preserve">RPE 7-8</t>
  </si>
  <si>
    <t xml:space="preserve">3 x 8-10/leg</t>
  </si>
  <si>
    <t xml:space="preserve">3 x 30sec/side</t>
  </si>
  <si>
    <t xml:space="preserve">Bench</t>
  </si>
  <si>
    <t xml:space="preserve">3 x 10-12</t>
  </si>
  <si>
    <t xml:space="preserve">Spoto press</t>
  </si>
  <si>
    <t xml:space="preserve">70% TM + $10</t>
  </si>
  <si>
    <t xml:space="preserve">WEEK 04 | ACCUMULATION PEAK</t>
  </si>
  <si>
    <t xml:space="preserve">RPE 8</t>
  </si>
  <si>
    <t xml:space="preserve">2 x 8/leg</t>
  </si>
  <si>
    <t xml:space="preserve">8 x 3</t>
  </si>
  <si>
    <t xml:space="preserve">3 x 10</t>
  </si>
  <si>
    <t xml:space="preserve">Tempo bench</t>
  </si>
  <si>
    <t xml:space="preserve">70% TM + $15</t>
  </si>
  <si>
    <t xml:space="preserve">WEEK 05 | DELOAD</t>
  </si>
  <si>
    <t xml:space="preserve">Target loads use the editable training maxes on Inputs. Main-lift percentages are %TM, rounded to nearest 5 lb. RPE caps and technique take priority over load. Secondary squat: Weeks 1–6 paused squat; Weeks 7–12 high-bar squat. Secondary squat: progressive fixed loads per Inputs A9; deloads stay easy.</t>
  </si>
  <si>
    <t xml:space="preserve">RPE 7–8 cap; skip if slow or technically compromised</t>
  </si>
  <si>
    <t xml:space="preserve">RPE 6</t>
  </si>
  <si>
    <t xml:space="preserve">Split squat</t>
  </si>
  <si>
    <t xml:space="preserve">2 x 10</t>
  </si>
  <si>
    <t xml:space="preserve">2 x 15sec/side</t>
  </si>
  <si>
    <t xml:space="preserve">5 x 3</t>
  </si>
  <si>
    <t xml:space="preserve">2 x 5</t>
  </si>
  <si>
    <t xml:space="preserve">2 x 8/side</t>
  </si>
  <si>
    <t xml:space="preserve">2 x 3</t>
  </si>
  <si>
    <t xml:space="preserve">1 x 6</t>
  </si>
  <si>
    <t xml:space="preserve">Light paused bench</t>
  </si>
  <si>
    <t xml:space="preserve">55% TM — deload</t>
  </si>
  <si>
    <t xml:space="preserve">Easy deload; reduce fatigue</t>
  </si>
  <si>
    <t xml:space="preserve">1 x 12</t>
  </si>
  <si>
    <t xml:space="preserve">WEEK 06 | INTENSIFICATION</t>
  </si>
  <si>
    <t xml:space="preserve">RPE 8 cap; smooth single, no grind</t>
  </si>
  <si>
    <t xml:space="preserve">7 x 3</t>
  </si>
  <si>
    <t xml:space="preserve">3 x 8-10</t>
  </si>
  <si>
    <t xml:space="preserve">70% TM + $20 (resume progression)</t>
  </si>
  <si>
    <t xml:space="preserve">WEEK 07 | INTENSIFICATION</t>
  </si>
  <si>
    <t xml:space="preserve">5 x 2</t>
  </si>
  <si>
    <t xml:space="preserve">8 x 2</t>
  </si>
  <si>
    <t xml:space="preserve">3 x 4-5</t>
  </si>
  <si>
    <t xml:space="preserve">4 x 2</t>
  </si>
  <si>
    <t xml:space="preserve">2 x 10-12</t>
  </si>
  <si>
    <t xml:space="preserve">2 x 6-8</t>
  </si>
  <si>
    <t xml:space="preserve">High-bar squat</t>
  </si>
  <si>
    <t xml:space="preserve">75% TM + $0</t>
  </si>
  <si>
    <t xml:space="preserve">WEEK 08 | INTENSIFICATION</t>
  </si>
  <si>
    <t xml:space="preserve">3 x 2</t>
  </si>
  <si>
    <t xml:space="preserve">RPE 8 cap</t>
  </si>
  <si>
    <t xml:space="preserve">3 x 15-20sec/side</t>
  </si>
  <si>
    <t xml:space="preserve">7 x 2</t>
  </si>
  <si>
    <t xml:space="preserve">RPE 8-9</t>
  </si>
  <si>
    <t xml:space="preserve">2 x 6</t>
  </si>
  <si>
    <t xml:space="preserve">2 x 10/side</t>
  </si>
  <si>
    <t xml:space="preserve">75% TM + $5</t>
  </si>
  <si>
    <t xml:space="preserve">WEEK 09 | TOP OF INTENSIFICATION</t>
  </si>
  <si>
    <t xml:space="preserve">2 x 2</t>
  </si>
  <si>
    <t xml:space="preserve">RPE 8 cap; reduce if needed</t>
  </si>
  <si>
    <t xml:space="preserve">3 x 15sec/side</t>
  </si>
  <si>
    <t xml:space="preserve">6 x 2</t>
  </si>
  <si>
    <t xml:space="preserve">2 x 4</t>
  </si>
  <si>
    <t xml:space="preserve">1 x 10</t>
  </si>
  <si>
    <t xml:space="preserve">Competition-style bench</t>
  </si>
  <si>
    <t xml:space="preserve">75% TM + $10</t>
  </si>
  <si>
    <t xml:space="preserve">WEEK 10 | DELOAD</t>
  </si>
  <si>
    <t xml:space="preserve">RPE 6 deload</t>
  </si>
  <si>
    <t xml:space="preserve">2 x 6-8/leg</t>
  </si>
  <si>
    <t xml:space="preserve">2 x 12-15</t>
  </si>
  <si>
    <t xml:space="preserve">60% TM — deload</t>
  </si>
  <si>
    <t xml:space="preserve">WEEK 11 | PEAK / REALIZATION</t>
  </si>
  <si>
    <t xml:space="preserve">2 x 1</t>
  </si>
  <si>
    <t xml:space="preserve">RPE 6–7; crisp</t>
  </si>
  <si>
    <t xml:space="preserve">Bench — top single</t>
  </si>
  <si>
    <t xml:space="preserve">RPE 8–9 cap</t>
  </si>
  <si>
    <t xml:space="preserve">Bench — back-off</t>
  </si>
  <si>
    <t xml:space="preserve">4 x 1</t>
  </si>
  <si>
    <t xml:space="preserve">Two additional sets vs original 2x1; crisp reps, stop if speed drops</t>
  </si>
  <si>
    <t xml:space="preserve">2 x 8-10</t>
  </si>
  <si>
    <t xml:space="preserve">75% TM + $15 (resume progression)</t>
  </si>
  <si>
    <t xml:space="preserve">WEEK 12 | TAPER</t>
  </si>
  <si>
    <t xml:space="preserve">Target loads use the editable training maxes on Inputs. Main-lift percentages are %TM, rounded to nearest 5 lb. RPE caps and technique take priority over load. Secondary squat: Weeks 1–6 paused squat; Weeks 7–12 high-bar squat.</t>
  </si>
  <si>
    <t xml:space="preserve">RPE 7 cap; crisp only</t>
  </si>
  <si>
    <t xml:space="preserve">RPE 6–7; taper volume</t>
  </si>
  <si>
    <t xml:space="preserve">1 x 8/side</t>
  </si>
  <si>
    <t xml:space="preserve">5 x 1</t>
  </si>
  <si>
    <t xml:space="preserve">1 x 3</t>
  </si>
  <si>
    <t xml:space="preserve">light</t>
  </si>
  <si>
    <t xml:space="preserve">1 x 15</t>
  </si>
  <si>
    <t xml:space="preserve">Bench lockout support</t>
  </si>
  <si>
    <t xml:space="preserve">WEEK 13 | TESTING</t>
  </si>
  <si>
    <t xml:space="preserve">DAY 1 — LIGHT ACTIVATION</t>
  </si>
  <si>
    <t xml:space="preserve">Squat activation</t>
  </si>
  <si>
    <t xml:space="preserve">RPE ≤5; crisp only</t>
  </si>
  <si>
    <t xml:space="preserve">Bench activation</t>
  </si>
  <si>
    <t xml:space="preserve">DAY 2 — BENCH PR TEST</t>
  </si>
  <si>
    <t xml:space="preserve">Bench PR attempts</t>
  </si>
  <si>
    <t xml:space="preserve">3 x 1</t>
  </si>
  <si>
    <t xml:space="preserve">Attempt selection</t>
  </si>
  <si>
    <t xml:space="preserve">Use current true 1RM; not TM</t>
  </si>
  <si>
    <t xml:space="preserve">Opener ~90% current 1RM; next attempts only if clean.</t>
  </si>
  <si>
    <t xml:space="preserve">DAY 3 — REST</t>
  </si>
  <si>
    <t xml:space="preserve">No lifting / recovery</t>
  </si>
  <si>
    <t xml:space="preserve">Rest day</t>
  </si>
  <si>
    <t xml:space="preserve">—</t>
  </si>
  <si>
    <t xml:space="preserve">Full rest; no loaded lifting.</t>
  </si>
  <si>
    <t xml:space="preserve">DAY 4 — SQUAT PR TEST</t>
  </si>
  <si>
    <t xml:space="preserve">Squat PR attempts</t>
  </si>
  <si>
    <t xml:space="preserve">At least 48h after bench; no forced grinder.</t>
  </si>
  <si>
    <t xml:space="preserve">DAY 5 — REST / RECOVERY</t>
  </si>
  <si>
    <t xml:space="preserve">DAY 6 — REST / FULL RECOVERY</t>
  </si>
  <si>
    <t xml:space="preserve">No lifting</t>
  </si>
  <si>
    <t xml:space="preserve">Full rest before deadlift testing.</t>
  </si>
  <si>
    <t xml:space="preserve">DAY 7 — REST / FULL RECOVERY</t>
  </si>
  <si>
    <t xml:space="preserve">DAY 8 — DEADLIFT PR TEST</t>
  </si>
  <si>
    <t xml:space="preserve">Deadlift PR attempts</t>
  </si>
  <si>
    <t xml:space="preserve">At least 72h after squat; opener ~90% true 1RM; attempt increases only if clean.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</si>
</sst>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0C0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324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247C88"/>
        <bgColor rgb="FF008080"/>
      </patternFill>
    </fill>
    <fill>
      <patternFill patternType="solid">
        <fgColor rgb="FFDCEBFA"/>
        <bgColor rgb="FFDCE8ED"/>
      </patternFill>
    </fill>
    <fill>
      <patternFill patternType="solid">
        <fgColor rgb="FFDCE8ED"/>
        <bgColor rgb="FFDCEBFA"/>
      </patternFill>
    </fill>
    <fill>
      <patternFill patternType="solid">
        <fgColor rgb="FFF7FA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47C88"/>
          <bgColor rgb="FF000000"/>
        </patternFill>
      </fill>
    </dxf>
    <dxf>
      <fill>
        <patternFill patternType="solid">
          <fgColor rgb="FFDCE8ED"/>
          <bgColor rgb="FF000000"/>
        </patternFill>
      </fill>
    </dxf>
    <dxf>
      <fill>
        <patternFill patternType="solid">
          <fgColor rgb="FFF7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8"/>
      <rgbColor rgb="FFC0C0C0"/>
      <rgbColor rgb="FF808080"/>
      <rgbColor rgb="FF9999FF"/>
      <rgbColor rgb="FF993366"/>
      <rgbColor rgb="FFF7FAFB"/>
      <rgbColor rgb="FFDCEBFA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false"/>
  </sheetPr>
  <dimension ref="A1:C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3"/>
    <col collapsed="false" customWidth="true" hidden="false" outlineLevel="0" max="26" min="5" style="0" width="8.71"/>
  </cols>
  <sheetData>
    <row r="1" customFormat="false" ht="22.0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6.4" hidden="false" customHeight="false" outlineLevel="0" collapsed="false">
      <c r="A3" s="3" t="s">
        <v>3</v>
      </c>
      <c r="B3" s="4" t="n">
        <v>300</v>
      </c>
      <c r="C3" s="3"/>
    </row>
    <row r="4" customFormat="false" ht="16.4" hidden="false" customHeight="false" outlineLevel="0" collapsed="false">
      <c r="A4" s="5" t="s">
        <v>4</v>
      </c>
      <c r="B4" s="6" t="n">
        <v>370</v>
      </c>
      <c r="C4" s="7"/>
    </row>
    <row r="5" customFormat="false" ht="16.4" hidden="false" customHeight="false" outlineLevel="0" collapsed="false">
      <c r="A5" s="5" t="s">
        <v>5</v>
      </c>
      <c r="B5" s="6" t="n">
        <v>205</v>
      </c>
      <c r="C5" s="7"/>
    </row>
    <row r="6" customFormat="false" ht="15" hidden="false" customHeight="false" outlineLevel="0" collapsed="false">
      <c r="A6" s="5" t="s">
        <v>6</v>
      </c>
      <c r="B6" s="8" t="n">
        <v>265</v>
      </c>
      <c r="C6" s="7"/>
    </row>
    <row r="7" customFormat="false" ht="36" hidden="false" customHeight="true" outlineLevel="0" collapsed="false">
      <c r="A7" s="9" t="s">
        <v>7</v>
      </c>
      <c r="B7" s="9"/>
      <c r="C7" s="9"/>
    </row>
    <row r="8" customFormat="false" ht="36" hidden="false" customHeight="true" outlineLevel="0" collapsed="false">
      <c r="A8" s="9" t="s">
        <v>8</v>
      </c>
      <c r="B8" s="9"/>
      <c r="C8" s="9"/>
    </row>
    <row r="9" customFormat="false" ht="54" hidden="false" customHeight="true" outlineLevel="0" collapsed="false">
      <c r="A9" s="10" t="s">
        <v>9</v>
      </c>
      <c r="B9" s="10"/>
      <c r="C9" s="10"/>
    </row>
    <row r="10" customFormat="false" ht="42" hidden="false" customHeight="true" outlineLevel="0" collapsed="false">
      <c r="A10" s="10"/>
      <c r="B10" s="10"/>
      <c r="C10" s="10"/>
    </row>
    <row r="12" customFormat="false" ht="15" hidden="false" customHeight="false" outlineLevel="0" collapsed="false">
      <c r="A12" s="11"/>
      <c r="B12" s="11"/>
      <c r="C12" s="1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1:C1"/>
    <mergeCell ref="A7:C7"/>
    <mergeCell ref="A8:C8"/>
    <mergeCell ref="A9:C9"/>
    <mergeCell ref="A10:C10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10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18</v>
      </c>
      <c r="B6" s="17" t="s">
        <v>19</v>
      </c>
      <c r="C6" s="18" t="n">
        <v>0.85</v>
      </c>
      <c r="D6" s="19" t="n">
        <f aca="false">MROUND(Inputs!$B$3*C6,5)</f>
        <v>255</v>
      </c>
      <c r="E6" s="16" t="s">
        <v>20</v>
      </c>
    </row>
    <row r="7" customFormat="false" ht="30" hidden="false" customHeight="true" outlineLevel="0" collapsed="false">
      <c r="A7" s="20" t="s">
        <v>21</v>
      </c>
      <c r="B7" s="5" t="s">
        <v>22</v>
      </c>
      <c r="C7" s="21" t="n">
        <v>0.7</v>
      </c>
      <c r="D7" s="22" t="n">
        <f aca="false">MROUND(Inputs!$B$3*C7,5)</f>
        <v>210</v>
      </c>
      <c r="E7" s="20" t="s">
        <v>23</v>
      </c>
    </row>
    <row r="8" customFormat="false" ht="30" hidden="false" customHeight="true" outlineLevel="0" collapsed="false">
      <c r="A8" s="16" t="s">
        <v>24</v>
      </c>
      <c r="B8" s="17" t="s">
        <v>25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28</v>
      </c>
      <c r="B9" s="5" t="s">
        <v>29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30</v>
      </c>
      <c r="B10" s="17" t="s">
        <v>31</v>
      </c>
      <c r="C10" s="18" t="s">
        <v>26</v>
      </c>
      <c r="D10" s="19" t="s">
        <v>27</v>
      </c>
      <c r="E10" s="16" t="s">
        <v>26</v>
      </c>
    </row>
    <row r="11" customFormat="false" ht="30" hidden="false" customHeight="true" outlineLevel="0" collapsed="false">
      <c r="A11" s="20" t="s">
        <v>32</v>
      </c>
      <c r="B11" s="5" t="s">
        <v>33</v>
      </c>
      <c r="C11" s="21" t="s">
        <v>26</v>
      </c>
      <c r="D11" s="22" t="s">
        <v>27</v>
      </c>
      <c r="E11" s="20" t="s">
        <v>26</v>
      </c>
    </row>
    <row r="13" customFormat="false" ht="30" hidden="false" customHeight="true" outlineLevel="0" collapsed="false">
      <c r="A13" s="15" t="s">
        <v>34</v>
      </c>
    </row>
    <row r="14" customFormat="false" ht="30" hidden="false" customHeight="true" outlineLevel="0" collapsed="false">
      <c r="A14" s="16" t="s">
        <v>35</v>
      </c>
      <c r="B14" s="17" t="s">
        <v>36</v>
      </c>
      <c r="C14" s="18" t="n">
        <v>0.7</v>
      </c>
      <c r="D14" s="19" t="n">
        <f aca="false">MROUND(Inputs!$B$5*C14,5)</f>
        <v>145</v>
      </c>
      <c r="E14" s="16" t="s">
        <v>23</v>
      </c>
    </row>
    <row r="15" customFormat="false" ht="30" hidden="false" customHeight="true" outlineLevel="0" collapsed="false">
      <c r="A15" s="20" t="s">
        <v>37</v>
      </c>
      <c r="B15" s="5" t="s">
        <v>38</v>
      </c>
      <c r="C15" s="21" t="s">
        <v>26</v>
      </c>
      <c r="D15" s="22" t="s">
        <v>27</v>
      </c>
      <c r="E15" s="20" t="s">
        <v>23</v>
      </c>
    </row>
    <row r="16" customFormat="false" ht="30" hidden="false" customHeight="true" outlineLevel="0" collapsed="false">
      <c r="A16" s="16" t="s">
        <v>39</v>
      </c>
      <c r="B16" s="17" t="s">
        <v>29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40</v>
      </c>
      <c r="B17" s="5" t="s">
        <v>29</v>
      </c>
      <c r="C17" s="21" t="s">
        <v>26</v>
      </c>
      <c r="D17" s="22" t="s">
        <v>27</v>
      </c>
      <c r="E17" s="20" t="s">
        <v>26</v>
      </c>
    </row>
    <row r="18" customFormat="false" ht="30" hidden="false" customHeight="true" outlineLevel="0" collapsed="false">
      <c r="A18" s="16" t="s">
        <v>41</v>
      </c>
      <c r="B18" s="17" t="s">
        <v>33</v>
      </c>
      <c r="C18" s="18" t="s">
        <v>26</v>
      </c>
      <c r="D18" s="19" t="s">
        <v>27</v>
      </c>
      <c r="E18" s="16" t="s">
        <v>26</v>
      </c>
    </row>
    <row r="20" customFormat="false" ht="30" hidden="false" customHeight="true" outlineLevel="0" collapsed="false">
      <c r="A20" s="15" t="s">
        <v>42</v>
      </c>
    </row>
    <row r="21" customFormat="false" ht="30" hidden="false" customHeight="true" outlineLevel="0" collapsed="false">
      <c r="A21" s="20" t="s">
        <v>43</v>
      </c>
      <c r="B21" s="5" t="s">
        <v>44</v>
      </c>
      <c r="C21" s="21" t="n">
        <v>0.68</v>
      </c>
      <c r="D21" s="22" t="n">
        <f aca="false">MROUND(Inputs!$B$4*C21,5)</f>
        <v>250</v>
      </c>
      <c r="E21" s="20" t="s">
        <v>23</v>
      </c>
    </row>
    <row r="22" customFormat="false" ht="30" hidden="false" customHeight="true" outlineLevel="0" collapsed="false">
      <c r="A22" s="20" t="s">
        <v>45</v>
      </c>
      <c r="B22" s="5" t="s">
        <v>46</v>
      </c>
      <c r="C22" s="21" t="n">
        <v>0.666666666666667</v>
      </c>
      <c r="D22" s="22" t="n">
        <f aca="false">MROUND((Inputs!$B$4/0.9*0.6+0),5)</f>
        <v>245</v>
      </c>
      <c r="E22" s="20" t="s">
        <v>47</v>
      </c>
    </row>
    <row r="23" customFormat="false" ht="30" hidden="false" customHeight="true" outlineLevel="0" collapsed="false">
      <c r="A23" s="20" t="s">
        <v>48</v>
      </c>
      <c r="B23" s="5" t="s">
        <v>49</v>
      </c>
      <c r="C23" s="21" t="s">
        <v>26</v>
      </c>
      <c r="D23" s="22" t="s">
        <v>27</v>
      </c>
      <c r="E23" s="20" t="s">
        <v>26</v>
      </c>
    </row>
    <row r="24" customFormat="false" ht="30" hidden="false" customHeight="true" outlineLevel="0" collapsed="false">
      <c r="A24" s="16" t="s">
        <v>50</v>
      </c>
      <c r="B24" s="17" t="s">
        <v>51</v>
      </c>
      <c r="C24" s="18" t="s">
        <v>26</v>
      </c>
      <c r="D24" s="19" t="s">
        <v>27</v>
      </c>
      <c r="E24" s="16" t="s">
        <v>26</v>
      </c>
    </row>
    <row r="25" customFormat="false" ht="30" hidden="false" customHeight="true" outlineLevel="0" collapsed="false"/>
    <row r="26" customFormat="false" ht="15" hidden="false" customHeight="false" outlineLevel="0" collapsed="false">
      <c r="A26" s="15" t="s">
        <v>52</v>
      </c>
    </row>
    <row r="27" customFormat="false" ht="30" hidden="false" customHeight="true" outlineLevel="0" collapsed="false">
      <c r="A27" s="16" t="s">
        <v>53</v>
      </c>
      <c r="B27" s="17" t="s">
        <v>22</v>
      </c>
      <c r="C27" s="18" t="n">
        <v>0.65</v>
      </c>
      <c r="D27" s="19" t="n">
        <f aca="false">MROUND(Inputs!$B$5*C27,5)</f>
        <v>135</v>
      </c>
      <c r="E27" s="16" t="s">
        <v>54</v>
      </c>
    </row>
    <row r="28" customFormat="false" ht="30" hidden="false" customHeight="true" outlineLevel="0" collapsed="false">
      <c r="A28" s="16" t="s">
        <v>55</v>
      </c>
      <c r="B28" s="17" t="s">
        <v>29</v>
      </c>
      <c r="C28" s="18" t="s">
        <v>26</v>
      </c>
      <c r="D28" s="19" t="s">
        <v>27</v>
      </c>
      <c r="E28" s="16" t="s">
        <v>26</v>
      </c>
    </row>
    <row r="29" customFormat="false" ht="30" hidden="false" customHeight="true" outlineLevel="0" collapsed="false">
      <c r="A29" s="20" t="s">
        <v>56</v>
      </c>
      <c r="B29" s="5" t="s">
        <v>33</v>
      </c>
      <c r="C29" s="21" t="s">
        <v>26</v>
      </c>
      <c r="D29" s="22" t="s">
        <v>27</v>
      </c>
      <c r="E29" s="20" t="s">
        <v>26</v>
      </c>
    </row>
    <row r="30" customFormat="false" ht="30" hidden="false" customHeight="true" outlineLevel="0" collapsed="false">
      <c r="A30" s="16" t="s">
        <v>57</v>
      </c>
      <c r="B30" s="17" t="s">
        <v>29</v>
      </c>
      <c r="C30" s="18" t="s">
        <v>26</v>
      </c>
      <c r="D30" s="19" t="s">
        <v>27</v>
      </c>
      <c r="E30" s="16" t="s">
        <v>26</v>
      </c>
    </row>
    <row r="31" customFormat="false" ht="30" hidden="false" customHeight="true" outlineLevel="0" collapsed="false">
      <c r="A31" s="20" t="s">
        <v>30</v>
      </c>
      <c r="B31" s="5" t="s">
        <v>31</v>
      </c>
      <c r="C31" s="21" t="s">
        <v>26</v>
      </c>
      <c r="D31" s="22" t="s">
        <v>27</v>
      </c>
      <c r="E31" s="20" t="s">
        <v>26</v>
      </c>
    </row>
    <row r="32" customFormat="false" ht="30" hidden="false" customHeight="true" outlineLevel="0" collapsed="false"/>
    <row r="33" customFormat="false" ht="30" hidden="false" customHeight="true" outlineLevel="0" collapsed="false">
      <c r="A33" s="15" t="s">
        <v>58</v>
      </c>
    </row>
    <row r="34" customFormat="false" ht="15" hidden="false" customHeight="false" outlineLevel="0" collapsed="false">
      <c r="A34" s="16" t="s">
        <v>59</v>
      </c>
      <c r="B34" s="17" t="s">
        <v>46</v>
      </c>
      <c r="C34" s="18" t="s">
        <v>60</v>
      </c>
      <c r="D34" s="19" t="n">
        <f aca="false">MROUND(MROUND(Inputs!$B$3*0.7,5)+0,5)</f>
        <v>210</v>
      </c>
      <c r="E34" s="16" t="s">
        <v>61</v>
      </c>
    </row>
    <row r="35" customFormat="false" ht="30" hidden="false" customHeight="true" outlineLevel="0" collapsed="false">
      <c r="A35" s="20" t="s">
        <v>62</v>
      </c>
      <c r="B35" s="5" t="s">
        <v>63</v>
      </c>
      <c r="C35" s="21" t="s">
        <v>64</v>
      </c>
      <c r="D35" s="22" t="s">
        <v>27</v>
      </c>
      <c r="E35" s="20" t="s">
        <v>65</v>
      </c>
    </row>
    <row r="36" customFormat="false" ht="30" hidden="false" customHeight="true" outlineLevel="0" collapsed="false">
      <c r="A36" s="16" t="s">
        <v>48</v>
      </c>
      <c r="B36" s="17" t="s">
        <v>66</v>
      </c>
      <c r="C36" s="18" t="s">
        <v>26</v>
      </c>
      <c r="D36" s="19" t="s">
        <v>27</v>
      </c>
      <c r="E36" s="16" t="s">
        <v>26</v>
      </c>
    </row>
    <row r="37" customFormat="false" ht="30" hidden="false" customHeight="true" outlineLevel="0" collapsed="false">
      <c r="A37" s="20" t="s">
        <v>67</v>
      </c>
      <c r="B37" s="5" t="s">
        <v>68</v>
      </c>
      <c r="C37" s="21" t="s">
        <v>26</v>
      </c>
      <c r="D37" s="22" t="s">
        <v>27</v>
      </c>
      <c r="E37" s="20" t="s">
        <v>26</v>
      </c>
    </row>
    <row r="38" customFormat="false" ht="30" hidden="false" customHeight="true" outlineLevel="0" collapsed="false">
      <c r="A38" s="16" t="s">
        <v>50</v>
      </c>
      <c r="B38" s="17" t="s">
        <v>69</v>
      </c>
      <c r="C38" s="18" t="s">
        <v>26</v>
      </c>
      <c r="D38" s="19" t="s">
        <v>27</v>
      </c>
      <c r="E38" s="16" t="s">
        <v>26</v>
      </c>
    </row>
    <row r="39" customFormat="false" ht="30" hidden="false" customHeight="true" outlineLevel="0" collapsed="false"/>
    <row r="40" customFormat="false" ht="30" hidden="false" customHeight="true" outlineLevel="0" collapsed="false"/>
  </sheetData>
  <autoFilter ref="A4:E40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70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18</v>
      </c>
      <c r="B6" s="17" t="s">
        <v>19</v>
      </c>
      <c r="C6" s="18" t="n">
        <v>0.86</v>
      </c>
      <c r="D6" s="19" t="n">
        <f aca="false">MROUND(Inputs!$B$3*C6,5)</f>
        <v>260</v>
      </c>
      <c r="E6" s="16" t="s">
        <v>20</v>
      </c>
    </row>
    <row r="7" customFormat="false" ht="30" hidden="false" customHeight="true" outlineLevel="0" collapsed="false">
      <c r="A7" s="20" t="s">
        <v>21</v>
      </c>
      <c r="B7" s="5" t="s">
        <v>71</v>
      </c>
      <c r="C7" s="21" t="n">
        <v>0.73</v>
      </c>
      <c r="D7" s="22" t="n">
        <f aca="false">MROUND(Inputs!$B$3*C7,5)</f>
        <v>220</v>
      </c>
      <c r="E7" s="20" t="s">
        <v>23</v>
      </c>
    </row>
    <row r="8" customFormat="false" ht="30" hidden="false" customHeight="true" outlineLevel="0" collapsed="false">
      <c r="A8" s="16" t="s">
        <v>24</v>
      </c>
      <c r="B8" s="17" t="s">
        <v>25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29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74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35</v>
      </c>
      <c r="B13" s="5" t="s">
        <v>75</v>
      </c>
      <c r="C13" s="21" t="n">
        <v>0.73</v>
      </c>
      <c r="D13" s="22" t="n">
        <f aca="false">MROUND(Inputs!$B$5*C13,5)</f>
        <v>150</v>
      </c>
      <c r="E13" s="20" t="s">
        <v>23</v>
      </c>
    </row>
    <row r="14" customFormat="false" ht="30" hidden="false" customHeight="true" outlineLevel="0" collapsed="false">
      <c r="A14" s="16" t="s">
        <v>37</v>
      </c>
      <c r="B14" s="17" t="s">
        <v>38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29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29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33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44</v>
      </c>
      <c r="C20" s="18" t="n">
        <v>0.72</v>
      </c>
      <c r="D20" s="19" t="n">
        <f aca="false">MROUND(Inputs!$B$4*C20,5)</f>
        <v>265</v>
      </c>
      <c r="E20" s="16" t="s">
        <v>23</v>
      </c>
    </row>
    <row r="21" customFormat="false" ht="30" hidden="false" customHeight="true" outlineLevel="0" collapsed="false">
      <c r="A21" s="16" t="s">
        <v>45</v>
      </c>
      <c r="B21" s="17" t="s">
        <v>46</v>
      </c>
      <c r="C21" s="18" t="n">
        <v>0.666666666666667</v>
      </c>
      <c r="D21" s="19" t="n">
        <f aca="false">MROUND((Inputs!$B$4/0.9*0.6+5),5)</f>
        <v>250</v>
      </c>
      <c r="E21" s="16" t="s">
        <v>47</v>
      </c>
    </row>
    <row r="22" customFormat="false" ht="30" hidden="false" customHeight="true" outlineLevel="0" collapsed="false">
      <c r="A22" s="16" t="s">
        <v>48</v>
      </c>
      <c r="B22" s="17" t="s">
        <v>49</v>
      </c>
      <c r="C22" s="18" t="s">
        <v>26</v>
      </c>
      <c r="D22" s="19" t="s">
        <v>27</v>
      </c>
      <c r="E22" s="16" t="s">
        <v>26</v>
      </c>
    </row>
    <row r="23" customFormat="false" ht="30" hidden="false" customHeight="true" outlineLevel="0" collapsed="false">
      <c r="A23" s="20" t="s">
        <v>50</v>
      </c>
      <c r="B23" s="5" t="s">
        <v>51</v>
      </c>
      <c r="C23" s="21" t="s">
        <v>26</v>
      </c>
      <c r="D23" s="22" t="s">
        <v>27</v>
      </c>
      <c r="E23" s="20" t="s">
        <v>26</v>
      </c>
    </row>
    <row r="24" customFormat="false" ht="30" hidden="false" customHeight="true" outlineLevel="0" collapsed="false"/>
    <row r="25" customFormat="false" ht="15" hidden="false" customHeight="false" outlineLevel="0" collapsed="false">
      <c r="A25" s="15" t="s">
        <v>52</v>
      </c>
    </row>
    <row r="26" customFormat="false" ht="30" hidden="false" customHeight="true" outlineLevel="0" collapsed="false">
      <c r="A26" s="20" t="s">
        <v>76</v>
      </c>
      <c r="B26" s="5" t="s">
        <v>77</v>
      </c>
      <c r="C26" s="21" t="n">
        <v>0.7</v>
      </c>
      <c r="D26" s="22" t="n">
        <f aca="false">MROUND(Inputs!$B$5*C26,5)</f>
        <v>145</v>
      </c>
      <c r="E26" s="20" t="s">
        <v>23</v>
      </c>
    </row>
    <row r="27" customFormat="false" ht="30" hidden="false" customHeight="true" outlineLevel="0" collapsed="false">
      <c r="A27" s="20" t="s">
        <v>55</v>
      </c>
      <c r="B27" s="5" t="s">
        <v>29</v>
      </c>
      <c r="C27" s="21" t="s">
        <v>26</v>
      </c>
      <c r="D27" s="22" t="s">
        <v>27</v>
      </c>
      <c r="E27" s="20" t="s">
        <v>26</v>
      </c>
    </row>
    <row r="28" customFormat="false" ht="30" hidden="false" customHeight="true" outlineLevel="0" collapsed="false">
      <c r="A28" s="16" t="s">
        <v>56</v>
      </c>
      <c r="B28" s="17" t="s">
        <v>33</v>
      </c>
      <c r="C28" s="18" t="s">
        <v>26</v>
      </c>
      <c r="D28" s="19" t="s">
        <v>27</v>
      </c>
      <c r="E28" s="16" t="s">
        <v>26</v>
      </c>
    </row>
    <row r="29" customFormat="false" ht="30" hidden="false" customHeight="true" outlineLevel="0" collapsed="false">
      <c r="A29" s="20" t="s">
        <v>57</v>
      </c>
      <c r="B29" s="5" t="s">
        <v>29</v>
      </c>
      <c r="C29" s="21" t="s">
        <v>26</v>
      </c>
      <c r="D29" s="22" t="s">
        <v>27</v>
      </c>
      <c r="E29" s="20" t="s">
        <v>26</v>
      </c>
    </row>
    <row r="30" customFormat="false" ht="30" hidden="false" customHeight="true" outlineLevel="0" collapsed="false">
      <c r="A30" s="16" t="s">
        <v>30</v>
      </c>
      <c r="B30" s="17" t="s">
        <v>31</v>
      </c>
      <c r="C30" s="18" t="s">
        <v>26</v>
      </c>
      <c r="D30" s="19" t="s">
        <v>27</v>
      </c>
      <c r="E30" s="16" t="s">
        <v>26</v>
      </c>
    </row>
    <row r="31" customFormat="false" ht="30" hidden="false" customHeight="true" outlineLevel="0" collapsed="false"/>
    <row r="32" customFormat="false" ht="30" hidden="false" customHeight="true" outlineLevel="0" collapsed="false">
      <c r="A32" s="15" t="s">
        <v>58</v>
      </c>
    </row>
    <row r="33" customFormat="false" ht="15" hidden="false" customHeight="false" outlineLevel="0" collapsed="false">
      <c r="A33" s="20" t="s">
        <v>59</v>
      </c>
      <c r="B33" s="5" t="s">
        <v>78</v>
      </c>
      <c r="C33" s="21" t="s">
        <v>79</v>
      </c>
      <c r="D33" s="22" t="n">
        <f aca="false">MROUND(MROUND(Inputs!$B$3*0.7,5)+5,5)</f>
        <v>215</v>
      </c>
      <c r="E33" s="20" t="s">
        <v>61</v>
      </c>
    </row>
    <row r="34" customFormat="false" ht="30" hidden="false" customHeight="true" outlineLevel="0" collapsed="false">
      <c r="A34" s="16" t="s">
        <v>62</v>
      </c>
      <c r="B34" s="17" t="s">
        <v>63</v>
      </c>
      <c r="C34" s="18" t="s">
        <v>64</v>
      </c>
      <c r="D34" s="19" t="s">
        <v>27</v>
      </c>
      <c r="E34" s="16" t="s">
        <v>65</v>
      </c>
    </row>
    <row r="35" customFormat="false" ht="30" hidden="false" customHeight="true" outlineLevel="0" collapsed="false">
      <c r="A35" s="20" t="s">
        <v>48</v>
      </c>
      <c r="B35" s="5" t="s">
        <v>66</v>
      </c>
      <c r="C35" s="21" t="s">
        <v>26</v>
      </c>
      <c r="D35" s="22" t="s">
        <v>27</v>
      </c>
      <c r="E35" s="20" t="s">
        <v>26</v>
      </c>
    </row>
    <row r="36" customFormat="false" ht="30" hidden="false" customHeight="true" outlineLevel="0" collapsed="false">
      <c r="A36" s="16" t="s">
        <v>67</v>
      </c>
      <c r="B36" s="17" t="s">
        <v>68</v>
      </c>
      <c r="C36" s="18" t="s">
        <v>26</v>
      </c>
      <c r="D36" s="19" t="s">
        <v>27</v>
      </c>
      <c r="E36" s="16" t="s">
        <v>26</v>
      </c>
    </row>
    <row r="37" customFormat="false" ht="30" hidden="false" customHeight="true" outlineLevel="0" collapsed="false"/>
    <row r="38" customFormat="false" ht="30" hidden="false" customHeight="true" outlineLevel="0" collapsed="false"/>
  </sheetData>
  <autoFilter ref="A4:E3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80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0.87</v>
      </c>
      <c r="D6" s="19" t="n">
        <f aca="false">MROUND(Inputs!$B$3*C6,5)</f>
        <v>260</v>
      </c>
      <c r="E6" s="16" t="s">
        <v>20</v>
      </c>
    </row>
    <row r="7" customFormat="false" ht="30" hidden="false" customHeight="true" outlineLevel="0" collapsed="false">
      <c r="A7" s="20" t="s">
        <v>82</v>
      </c>
      <c r="B7" s="5" t="s">
        <v>83</v>
      </c>
      <c r="C7" s="21" t="n">
        <v>0.77</v>
      </c>
      <c r="D7" s="22" t="n">
        <f aca="false">MROUND(Inputs!$B$3*C7,5)</f>
        <v>230</v>
      </c>
      <c r="E7" s="20" t="s">
        <v>84</v>
      </c>
    </row>
    <row r="8" customFormat="false" ht="30" hidden="false" customHeight="true" outlineLevel="0" collapsed="false">
      <c r="A8" s="16" t="s">
        <v>24</v>
      </c>
      <c r="B8" s="17" t="s">
        <v>85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29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86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75</v>
      </c>
      <c r="C13" s="21" t="n">
        <v>0.76</v>
      </c>
      <c r="D13" s="22" t="n">
        <f aca="false">MROUND(Inputs!$B$5*C13,5)</f>
        <v>155</v>
      </c>
      <c r="E13" s="20" t="s">
        <v>84</v>
      </c>
    </row>
    <row r="14" customFormat="false" ht="30" hidden="false" customHeight="true" outlineLevel="0" collapsed="false">
      <c r="A14" s="16" t="s">
        <v>37</v>
      </c>
      <c r="B14" s="17" t="s">
        <v>78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88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29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33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77</v>
      </c>
      <c r="C20" s="18" t="n">
        <v>0.76</v>
      </c>
      <c r="D20" s="19" t="n">
        <f aca="false">MROUND(Inputs!$B$4*C20,5)</f>
        <v>280</v>
      </c>
      <c r="E20" s="16" t="s">
        <v>84</v>
      </c>
    </row>
    <row r="21" customFormat="false" ht="30" hidden="false" customHeight="true" outlineLevel="0" collapsed="false">
      <c r="A21" s="16" t="s">
        <v>45</v>
      </c>
      <c r="B21" s="17" t="s">
        <v>46</v>
      </c>
      <c r="C21" s="18" t="n">
        <v>0.666666666666667</v>
      </c>
      <c r="D21" s="19" t="n">
        <f aca="false">MROUND((Inputs!$B$4/0.9*0.6+10),5)</f>
        <v>255</v>
      </c>
      <c r="E21" s="16" t="s">
        <v>47</v>
      </c>
    </row>
    <row r="22" customFormat="false" ht="30" hidden="false" customHeight="true" outlineLevel="0" collapsed="false">
      <c r="A22" s="16" t="s">
        <v>48</v>
      </c>
      <c r="B22" s="17" t="s">
        <v>49</v>
      </c>
      <c r="C22" s="18" t="s">
        <v>26</v>
      </c>
      <c r="D22" s="19" t="s">
        <v>27</v>
      </c>
      <c r="E22" s="16" t="s">
        <v>26</v>
      </c>
    </row>
    <row r="23" customFormat="false" ht="30" hidden="false" customHeight="true" outlineLevel="0" collapsed="false">
      <c r="A23" s="20" t="s">
        <v>50</v>
      </c>
      <c r="B23" s="5" t="s">
        <v>51</v>
      </c>
      <c r="C23" s="21" t="s">
        <v>26</v>
      </c>
      <c r="D23" s="22" t="s">
        <v>27</v>
      </c>
      <c r="E23" s="20" t="s">
        <v>26</v>
      </c>
    </row>
    <row r="24" customFormat="false" ht="30" hidden="false" customHeight="true" outlineLevel="0" collapsed="false"/>
    <row r="25" customFormat="false" ht="15" hidden="false" customHeight="false" outlineLevel="0" collapsed="false">
      <c r="A25" s="15" t="s">
        <v>52</v>
      </c>
    </row>
    <row r="26" customFormat="false" ht="30" hidden="false" customHeight="true" outlineLevel="0" collapsed="false">
      <c r="A26" s="20" t="s">
        <v>89</v>
      </c>
      <c r="B26" s="5" t="s">
        <v>22</v>
      </c>
      <c r="C26" s="21" t="n">
        <v>0.6</v>
      </c>
      <c r="D26" s="22" t="n">
        <f aca="false">MROUND(Inputs!$B$5*C26,5)</f>
        <v>125</v>
      </c>
      <c r="E26" s="20" t="s">
        <v>54</v>
      </c>
    </row>
    <row r="27" customFormat="false" ht="30" hidden="false" customHeight="true" outlineLevel="0" collapsed="false">
      <c r="A27" s="20" t="s">
        <v>55</v>
      </c>
      <c r="B27" s="5" t="s">
        <v>29</v>
      </c>
      <c r="C27" s="21" t="s">
        <v>26</v>
      </c>
      <c r="D27" s="22" t="s">
        <v>27</v>
      </c>
      <c r="E27" s="20" t="s">
        <v>26</v>
      </c>
    </row>
    <row r="28" customFormat="false" ht="30" hidden="false" customHeight="true" outlineLevel="0" collapsed="false">
      <c r="A28" s="16" t="s">
        <v>56</v>
      </c>
      <c r="B28" s="17" t="s">
        <v>33</v>
      </c>
      <c r="C28" s="18" t="s">
        <v>26</v>
      </c>
      <c r="D28" s="19" t="s">
        <v>27</v>
      </c>
      <c r="E28" s="16" t="s">
        <v>26</v>
      </c>
    </row>
    <row r="29" customFormat="false" ht="30" hidden="false" customHeight="true" outlineLevel="0" collapsed="false">
      <c r="A29" s="20" t="s">
        <v>57</v>
      </c>
      <c r="B29" s="5" t="s">
        <v>29</v>
      </c>
      <c r="C29" s="21" t="s">
        <v>26</v>
      </c>
      <c r="D29" s="22" t="s">
        <v>27</v>
      </c>
      <c r="E29" s="20" t="s">
        <v>26</v>
      </c>
    </row>
    <row r="30" customFormat="false" ht="30" hidden="false" customHeight="true" outlineLevel="0" collapsed="false">
      <c r="A30" s="16" t="s">
        <v>30</v>
      </c>
      <c r="B30" s="17" t="s">
        <v>31</v>
      </c>
      <c r="C30" s="18" t="s">
        <v>26</v>
      </c>
      <c r="D30" s="19" t="s">
        <v>27</v>
      </c>
      <c r="E30" s="16" t="s">
        <v>26</v>
      </c>
    </row>
    <row r="31" customFormat="false" ht="30" hidden="false" customHeight="true" outlineLevel="0" collapsed="false"/>
    <row r="32" customFormat="false" ht="30" hidden="false" customHeight="true" outlineLevel="0" collapsed="false">
      <c r="A32" s="15" t="s">
        <v>58</v>
      </c>
    </row>
    <row r="33" customFormat="false" ht="15" hidden="false" customHeight="false" outlineLevel="0" collapsed="false">
      <c r="A33" s="20" t="s">
        <v>59</v>
      </c>
      <c r="B33" s="5" t="s">
        <v>44</v>
      </c>
      <c r="C33" s="21" t="s">
        <v>90</v>
      </c>
      <c r="D33" s="22" t="n">
        <f aca="false">MROUND(MROUND(Inputs!$B$3*0.7,5)+10,5)</f>
        <v>220</v>
      </c>
      <c r="E33" s="20" t="s">
        <v>61</v>
      </c>
    </row>
    <row r="34" customFormat="false" ht="30" hidden="false" customHeight="true" outlineLevel="0" collapsed="false">
      <c r="A34" s="16" t="s">
        <v>62</v>
      </c>
      <c r="B34" s="17" t="s">
        <v>63</v>
      </c>
      <c r="C34" s="18" t="s">
        <v>64</v>
      </c>
      <c r="D34" s="19" t="s">
        <v>27</v>
      </c>
      <c r="E34" s="16" t="s">
        <v>65</v>
      </c>
    </row>
    <row r="35" customFormat="false" ht="30" hidden="false" customHeight="true" outlineLevel="0" collapsed="false">
      <c r="A35" s="20" t="s">
        <v>48</v>
      </c>
      <c r="B35" s="5" t="s">
        <v>66</v>
      </c>
      <c r="C35" s="21" t="s">
        <v>26</v>
      </c>
      <c r="D35" s="22" t="s">
        <v>27</v>
      </c>
      <c r="E35" s="20" t="s">
        <v>26</v>
      </c>
    </row>
    <row r="36" customFormat="false" ht="30" hidden="false" customHeight="true" outlineLevel="0" collapsed="false">
      <c r="A36" s="16" t="s">
        <v>67</v>
      </c>
      <c r="B36" s="17" t="s">
        <v>68</v>
      </c>
      <c r="C36" s="18" t="s">
        <v>26</v>
      </c>
      <c r="D36" s="19" t="s">
        <v>27</v>
      </c>
      <c r="E36" s="16" t="s">
        <v>26</v>
      </c>
    </row>
    <row r="37" customFormat="false" ht="30" hidden="false" customHeight="true" outlineLevel="0" collapsed="false"/>
    <row r="38" customFormat="false" ht="30" hidden="false" customHeight="true" outlineLevel="0" collapsed="false"/>
  </sheetData>
  <autoFilter ref="A4:E3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91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0.87</v>
      </c>
      <c r="D6" s="19" t="n">
        <f aca="false">MROUND(Inputs!$B$3*C6,5)</f>
        <v>260</v>
      </c>
      <c r="E6" s="16" t="s">
        <v>20</v>
      </c>
    </row>
    <row r="7" customFormat="false" ht="30" hidden="false" customHeight="true" outlineLevel="0" collapsed="false">
      <c r="A7" s="20" t="s">
        <v>82</v>
      </c>
      <c r="B7" s="5" t="s">
        <v>83</v>
      </c>
      <c r="C7" s="21" t="n">
        <v>0.8</v>
      </c>
      <c r="D7" s="22" t="n">
        <f aca="false">MROUND(Inputs!$B$3*C7,5)</f>
        <v>240</v>
      </c>
      <c r="E7" s="20" t="s">
        <v>92</v>
      </c>
    </row>
    <row r="8" customFormat="false" ht="30" hidden="false" customHeight="true" outlineLevel="0" collapsed="false">
      <c r="A8" s="16" t="s">
        <v>24</v>
      </c>
      <c r="B8" s="17" t="s">
        <v>93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88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86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94</v>
      </c>
      <c r="C13" s="21" t="n">
        <v>0.8</v>
      </c>
      <c r="D13" s="22" t="n">
        <f aca="false">MROUND(Inputs!$B$5*C13,5)</f>
        <v>165</v>
      </c>
      <c r="E13" s="20" t="s">
        <v>92</v>
      </c>
    </row>
    <row r="14" customFormat="false" ht="30" hidden="false" customHeight="true" outlineLevel="0" collapsed="false">
      <c r="A14" s="16" t="s">
        <v>37</v>
      </c>
      <c r="B14" s="17" t="s">
        <v>78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95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29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33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77</v>
      </c>
      <c r="C20" s="18" t="n">
        <v>0.8</v>
      </c>
      <c r="D20" s="19" t="n">
        <f aca="false">MROUND(Inputs!$B$4*C20,5)</f>
        <v>295</v>
      </c>
      <c r="E20" s="16" t="s">
        <v>92</v>
      </c>
    </row>
    <row r="21" customFormat="false" ht="30" hidden="false" customHeight="true" outlineLevel="0" collapsed="false">
      <c r="A21" s="16" t="s">
        <v>45</v>
      </c>
      <c r="B21" s="17" t="s">
        <v>46</v>
      </c>
      <c r="C21" s="18" t="n">
        <v>0.666666666666667</v>
      </c>
      <c r="D21" s="19" t="n">
        <f aca="false">MROUND((Inputs!$B$4/0.9*0.6+15),5)</f>
        <v>260</v>
      </c>
      <c r="E21" s="16" t="s">
        <v>47</v>
      </c>
    </row>
    <row r="22" customFormat="false" ht="30" hidden="false" customHeight="true" outlineLevel="0" collapsed="false">
      <c r="A22" s="16" t="s">
        <v>48</v>
      </c>
      <c r="B22" s="17" t="s">
        <v>49</v>
      </c>
      <c r="C22" s="18" t="s">
        <v>26</v>
      </c>
      <c r="D22" s="19" t="s">
        <v>27</v>
      </c>
      <c r="E22" s="16" t="s">
        <v>26</v>
      </c>
    </row>
    <row r="23" customFormat="false" ht="30" hidden="false" customHeight="true" outlineLevel="0" collapsed="false">
      <c r="A23" s="20" t="s">
        <v>50</v>
      </c>
      <c r="B23" s="5" t="s">
        <v>51</v>
      </c>
      <c r="C23" s="21" t="s">
        <v>26</v>
      </c>
      <c r="D23" s="22" t="s">
        <v>27</v>
      </c>
      <c r="E23" s="20" t="s">
        <v>26</v>
      </c>
    </row>
    <row r="24" customFormat="false" ht="30" hidden="false" customHeight="true" outlineLevel="0" collapsed="false"/>
    <row r="25" customFormat="false" ht="15" hidden="false" customHeight="false" outlineLevel="0" collapsed="false">
      <c r="A25" s="15" t="s">
        <v>52</v>
      </c>
    </row>
    <row r="26" customFormat="false" ht="30" hidden="false" customHeight="true" outlineLevel="0" collapsed="false">
      <c r="A26" s="20" t="s">
        <v>96</v>
      </c>
      <c r="B26" s="5" t="s">
        <v>77</v>
      </c>
      <c r="C26" s="21" t="n">
        <v>0.65</v>
      </c>
      <c r="D26" s="22" t="n">
        <f aca="false">MROUND(Inputs!$B$5*C26,5)</f>
        <v>135</v>
      </c>
      <c r="E26" s="20" t="s">
        <v>23</v>
      </c>
    </row>
    <row r="27" customFormat="false" ht="30" hidden="false" customHeight="true" outlineLevel="0" collapsed="false">
      <c r="A27" s="20" t="s">
        <v>55</v>
      </c>
      <c r="B27" s="5" t="s">
        <v>88</v>
      </c>
      <c r="C27" s="21" t="s">
        <v>26</v>
      </c>
      <c r="D27" s="22" t="s">
        <v>27</v>
      </c>
      <c r="E27" s="20" t="s">
        <v>26</v>
      </c>
    </row>
    <row r="28" customFormat="false" ht="30" hidden="false" customHeight="true" outlineLevel="0" collapsed="false">
      <c r="A28" s="16" t="s">
        <v>56</v>
      </c>
      <c r="B28" s="17" t="s">
        <v>33</v>
      </c>
      <c r="C28" s="18" t="s">
        <v>26</v>
      </c>
      <c r="D28" s="19" t="s">
        <v>27</v>
      </c>
      <c r="E28" s="16" t="s">
        <v>26</v>
      </c>
    </row>
    <row r="29" customFormat="false" ht="30" hidden="false" customHeight="true" outlineLevel="0" collapsed="false">
      <c r="A29" s="20" t="s">
        <v>57</v>
      </c>
      <c r="B29" s="5" t="s">
        <v>29</v>
      </c>
      <c r="C29" s="21" t="s">
        <v>26</v>
      </c>
      <c r="D29" s="22" t="s">
        <v>27</v>
      </c>
      <c r="E29" s="20" t="s">
        <v>26</v>
      </c>
    </row>
    <row r="30" customFormat="false" ht="30" hidden="false" customHeight="true" outlineLevel="0" collapsed="false">
      <c r="A30" s="16" t="s">
        <v>30</v>
      </c>
      <c r="B30" s="17" t="s">
        <v>31</v>
      </c>
      <c r="C30" s="18" t="s">
        <v>26</v>
      </c>
      <c r="D30" s="19" t="s">
        <v>27</v>
      </c>
      <c r="E30" s="16" t="s">
        <v>26</v>
      </c>
    </row>
    <row r="31" customFormat="false" ht="30" hidden="false" customHeight="true" outlineLevel="0" collapsed="false"/>
    <row r="32" customFormat="false" ht="30" hidden="false" customHeight="true" outlineLevel="0" collapsed="false">
      <c r="A32" s="15" t="s">
        <v>58</v>
      </c>
    </row>
    <row r="33" customFormat="false" ht="15" hidden="false" customHeight="false" outlineLevel="0" collapsed="false">
      <c r="A33" s="20" t="s">
        <v>59</v>
      </c>
      <c r="B33" s="5" t="s">
        <v>46</v>
      </c>
      <c r="C33" s="21" t="s">
        <v>97</v>
      </c>
      <c r="D33" s="22" t="n">
        <f aca="false">MROUND(MROUND(Inputs!$B$3*0.7,5)+15,5)</f>
        <v>225</v>
      </c>
      <c r="E33" s="20" t="s">
        <v>61</v>
      </c>
    </row>
    <row r="34" customFormat="false" ht="30" hidden="false" customHeight="true" outlineLevel="0" collapsed="false">
      <c r="A34" s="16" t="s">
        <v>62</v>
      </c>
      <c r="B34" s="17" t="s">
        <v>63</v>
      </c>
      <c r="C34" s="18" t="s">
        <v>64</v>
      </c>
      <c r="D34" s="19" t="s">
        <v>27</v>
      </c>
      <c r="E34" s="16" t="s">
        <v>65</v>
      </c>
    </row>
    <row r="35" customFormat="false" ht="30" hidden="false" customHeight="true" outlineLevel="0" collapsed="false">
      <c r="A35" s="20" t="s">
        <v>48</v>
      </c>
      <c r="B35" s="5" t="s">
        <v>66</v>
      </c>
      <c r="C35" s="21" t="s">
        <v>26</v>
      </c>
      <c r="D35" s="22" t="s">
        <v>27</v>
      </c>
      <c r="E35" s="20" t="s">
        <v>26</v>
      </c>
    </row>
    <row r="36" customFormat="false" ht="30" hidden="false" customHeight="true" outlineLevel="0" collapsed="false">
      <c r="A36" s="16" t="s">
        <v>67</v>
      </c>
      <c r="B36" s="17" t="s">
        <v>68</v>
      </c>
      <c r="C36" s="18" t="s">
        <v>26</v>
      </c>
      <c r="D36" s="19" t="s">
        <v>27</v>
      </c>
      <c r="E36" s="16" t="s">
        <v>26</v>
      </c>
    </row>
    <row r="37" customFormat="false" ht="30" hidden="false" customHeight="true" outlineLevel="0" collapsed="false"/>
    <row r="38" customFormat="false" ht="30" hidden="false" customHeight="true" outlineLevel="0" collapsed="false"/>
  </sheetData>
  <autoFilter ref="A4:E3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98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99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0.6</v>
      </c>
      <c r="D6" s="19" t="n">
        <f aca="false">MROUND(Inputs!$B$3*C6,5)</f>
        <v>180</v>
      </c>
      <c r="E6" s="16" t="s">
        <v>100</v>
      </c>
    </row>
    <row r="7" customFormat="false" ht="30" hidden="false" customHeight="true" outlineLevel="0" collapsed="false">
      <c r="A7" s="20" t="s">
        <v>82</v>
      </c>
      <c r="B7" s="5" t="s">
        <v>46</v>
      </c>
      <c r="C7" s="21" t="n">
        <v>0.6</v>
      </c>
      <c r="D7" s="22" t="n">
        <f aca="false">MROUND(Inputs!$B$3*C7,5)</f>
        <v>180</v>
      </c>
      <c r="E7" s="20" t="s">
        <v>101</v>
      </c>
    </row>
    <row r="8" customFormat="false" ht="30" hidden="false" customHeight="true" outlineLevel="0" collapsed="false">
      <c r="A8" s="16" t="s">
        <v>102</v>
      </c>
      <c r="B8" s="17" t="s">
        <v>93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103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104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105</v>
      </c>
      <c r="C13" s="21" t="n">
        <v>0.6</v>
      </c>
      <c r="D13" s="22" t="n">
        <f aca="false">MROUND(Inputs!$B$5*C13,5)</f>
        <v>125</v>
      </c>
      <c r="E13" s="20" t="s">
        <v>101</v>
      </c>
    </row>
    <row r="14" customFormat="false" ht="30" hidden="false" customHeight="true" outlineLevel="0" collapsed="false">
      <c r="A14" s="16" t="s">
        <v>37</v>
      </c>
      <c r="B14" s="17" t="s">
        <v>106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103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41</v>
      </c>
      <c r="B16" s="17" t="s">
        <v>49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30</v>
      </c>
      <c r="B17" s="5" t="s">
        <v>107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108</v>
      </c>
      <c r="C20" s="18" t="n">
        <v>0.55</v>
      </c>
      <c r="D20" s="19" t="n">
        <f aca="false">MROUND(Inputs!$B$4*C20,5)</f>
        <v>205</v>
      </c>
      <c r="E20" s="16" t="s">
        <v>101</v>
      </c>
    </row>
    <row r="21" customFormat="false" ht="30" hidden="false" customHeight="true" outlineLevel="0" collapsed="false">
      <c r="A21" s="20" t="s">
        <v>45</v>
      </c>
      <c r="B21" s="5" t="s">
        <v>108</v>
      </c>
      <c r="C21" s="21" t="n">
        <v>0.611111111111111</v>
      </c>
      <c r="D21" s="22" t="n">
        <f aca="false">MROUND((Inputs!$B$4/0.9*0.55),5)</f>
        <v>225</v>
      </c>
      <c r="E21" s="20" t="s">
        <v>47</v>
      </c>
    </row>
    <row r="22" customFormat="false" ht="30" hidden="false" customHeight="true" outlineLevel="0" collapsed="false">
      <c r="A22" s="20" t="s">
        <v>48</v>
      </c>
      <c r="B22" s="5" t="s">
        <v>66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>
      <c r="A23" s="16" t="s">
        <v>50</v>
      </c>
      <c r="B23" s="17" t="s">
        <v>109</v>
      </c>
      <c r="C23" s="18" t="s">
        <v>26</v>
      </c>
      <c r="D23" s="19" t="s">
        <v>27</v>
      </c>
      <c r="E23" s="16" t="s">
        <v>26</v>
      </c>
    </row>
    <row r="25" customFormat="false" ht="30" hidden="false" customHeight="true" outlineLevel="0" collapsed="false">
      <c r="A25" s="15" t="s">
        <v>52</v>
      </c>
    </row>
    <row r="26" customFormat="false" ht="30" hidden="false" customHeight="true" outlineLevel="0" collapsed="false">
      <c r="A26" s="16" t="s">
        <v>110</v>
      </c>
      <c r="B26" s="17" t="s">
        <v>46</v>
      </c>
      <c r="C26" s="18" t="n">
        <v>0.55</v>
      </c>
      <c r="D26" s="19" t="n">
        <f aca="false">MROUND(Inputs!$B$5*C26,5)</f>
        <v>115</v>
      </c>
      <c r="E26" s="16" t="s">
        <v>101</v>
      </c>
    </row>
    <row r="27" customFormat="false" ht="30" hidden="false" customHeight="true" outlineLevel="0" collapsed="false">
      <c r="A27" s="16" t="s">
        <v>55</v>
      </c>
      <c r="B27" s="17" t="s">
        <v>103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>
      <c r="A28" s="20" t="s">
        <v>56</v>
      </c>
      <c r="B28" s="5" t="s">
        <v>49</v>
      </c>
      <c r="C28" s="21" t="s">
        <v>26</v>
      </c>
      <c r="D28" s="22" t="s">
        <v>27</v>
      </c>
      <c r="E28" s="20" t="s">
        <v>26</v>
      </c>
    </row>
    <row r="29" customFormat="false" ht="30" hidden="false" customHeight="true" outlineLevel="0" collapsed="false">
      <c r="A29" s="16" t="s">
        <v>57</v>
      </c>
      <c r="B29" s="17" t="s">
        <v>103</v>
      </c>
      <c r="C29" s="18" t="s">
        <v>26</v>
      </c>
      <c r="D29" s="19" t="s">
        <v>27</v>
      </c>
      <c r="E29" s="16" t="s">
        <v>26</v>
      </c>
    </row>
    <row r="30" customFormat="false" ht="30" hidden="false" customHeight="true" outlineLevel="0" collapsed="false"/>
    <row r="31" customFormat="false" ht="15" hidden="false" customHeight="false" outlineLevel="0" collapsed="false">
      <c r="A31" s="15" t="s">
        <v>58</v>
      </c>
    </row>
    <row r="32" customFormat="false" ht="30" hidden="false" customHeight="true" outlineLevel="0" collapsed="false">
      <c r="A32" s="20" t="s">
        <v>59</v>
      </c>
      <c r="B32" s="5" t="s">
        <v>108</v>
      </c>
      <c r="C32" s="21" t="s">
        <v>111</v>
      </c>
      <c r="D32" s="22" t="n">
        <f aca="false">MROUND(Inputs!$B$3*0.55,5)</f>
        <v>165</v>
      </c>
      <c r="E32" s="20" t="s">
        <v>112</v>
      </c>
    </row>
    <row r="33" customFormat="false" ht="30" hidden="false" customHeight="true" outlineLevel="0" collapsed="false">
      <c r="A33" s="16" t="s">
        <v>62</v>
      </c>
      <c r="B33" s="17" t="s">
        <v>63</v>
      </c>
      <c r="C33" s="18" t="s">
        <v>64</v>
      </c>
      <c r="D33" s="19" t="s">
        <v>27</v>
      </c>
      <c r="E33" s="16" t="s">
        <v>65</v>
      </c>
    </row>
    <row r="34" customFormat="false" ht="30" hidden="false" customHeight="true" outlineLevel="0" collapsed="false">
      <c r="A34" s="20" t="s">
        <v>48</v>
      </c>
      <c r="B34" s="5" t="s">
        <v>113</v>
      </c>
      <c r="C34" s="21" t="s">
        <v>26</v>
      </c>
      <c r="D34" s="22" t="s">
        <v>27</v>
      </c>
      <c r="E34" s="20" t="s">
        <v>26</v>
      </c>
    </row>
    <row r="35" customFormat="false" ht="30" hidden="false" customHeight="true" outlineLevel="0" collapsed="false"/>
  </sheetData>
  <autoFilter ref="A4:E3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114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0.9</v>
      </c>
      <c r="D6" s="19" t="n">
        <f aca="false">MROUND(Inputs!$B$3*C6,5)</f>
        <v>270</v>
      </c>
      <c r="E6" s="16" t="s">
        <v>115</v>
      </c>
    </row>
    <row r="7" customFormat="false" ht="30" hidden="false" customHeight="true" outlineLevel="0" collapsed="false">
      <c r="A7" s="20" t="s">
        <v>82</v>
      </c>
      <c r="B7" s="5" t="s">
        <v>105</v>
      </c>
      <c r="C7" s="21" t="n">
        <v>0.83</v>
      </c>
      <c r="D7" s="22" t="n">
        <f aca="false">MROUND(Inputs!$B$3*C7,5)</f>
        <v>250</v>
      </c>
      <c r="E7" s="20" t="s">
        <v>92</v>
      </c>
    </row>
    <row r="8" customFormat="false" ht="30" hidden="false" customHeight="true" outlineLevel="0" collapsed="false">
      <c r="A8" s="16" t="s">
        <v>24</v>
      </c>
      <c r="B8" s="17" t="s">
        <v>68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95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74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116</v>
      </c>
      <c r="C13" s="21" t="n">
        <v>0.83</v>
      </c>
      <c r="D13" s="22" t="n">
        <f aca="false">MROUND(Inputs!$B$5*C13,5)</f>
        <v>170</v>
      </c>
      <c r="E13" s="20" t="s">
        <v>92</v>
      </c>
    </row>
    <row r="14" customFormat="false" ht="30" hidden="false" customHeight="true" outlineLevel="0" collapsed="false">
      <c r="A14" s="16" t="s">
        <v>37</v>
      </c>
      <c r="B14" s="17" t="s">
        <v>78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117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29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33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46</v>
      </c>
      <c r="C20" s="18" t="n">
        <v>0.82</v>
      </c>
      <c r="D20" s="19" t="n">
        <f aca="false">MROUND(Inputs!$B$4*C20,5)</f>
        <v>305</v>
      </c>
      <c r="E20" s="16" t="s">
        <v>92</v>
      </c>
    </row>
    <row r="21" customFormat="false" ht="30" hidden="false" customHeight="true" outlineLevel="0" collapsed="false">
      <c r="A21" s="20" t="s">
        <v>45</v>
      </c>
      <c r="B21" s="5" t="s">
        <v>46</v>
      </c>
      <c r="C21" s="21" t="n">
        <v>0.666666666666667</v>
      </c>
      <c r="D21" s="22" t="n">
        <f aca="false">MROUND((Inputs!$B$4/0.9*0.6+25),5)</f>
        <v>270</v>
      </c>
      <c r="E21" s="20" t="s">
        <v>47</v>
      </c>
    </row>
    <row r="22" customFormat="false" ht="30" hidden="false" customHeight="true" outlineLevel="0" collapsed="false">
      <c r="A22" s="20" t="s">
        <v>48</v>
      </c>
      <c r="B22" s="5" t="s">
        <v>66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>
      <c r="A23" s="16" t="s">
        <v>50</v>
      </c>
      <c r="B23" s="17" t="s">
        <v>51</v>
      </c>
      <c r="C23" s="18" t="s">
        <v>26</v>
      </c>
      <c r="D23" s="19" t="s">
        <v>27</v>
      </c>
      <c r="E23" s="16" t="s">
        <v>26</v>
      </c>
    </row>
    <row r="25" customFormat="false" ht="30" hidden="false" customHeight="true" outlineLevel="0" collapsed="false">
      <c r="A25" s="15" t="s">
        <v>52</v>
      </c>
    </row>
    <row r="26" customFormat="false" ht="30" hidden="false" customHeight="true" outlineLevel="0" collapsed="false">
      <c r="A26" s="16" t="s">
        <v>89</v>
      </c>
      <c r="B26" s="17" t="s">
        <v>77</v>
      </c>
      <c r="C26" s="18" t="n">
        <v>0.65</v>
      </c>
      <c r="D26" s="19" t="n">
        <f aca="false">MROUND(Inputs!$B$5*C26,5)</f>
        <v>135</v>
      </c>
      <c r="E26" s="16" t="s">
        <v>23</v>
      </c>
    </row>
    <row r="27" customFormat="false" ht="30" hidden="false" customHeight="true" outlineLevel="0" collapsed="false">
      <c r="A27" s="16" t="s">
        <v>55</v>
      </c>
      <c r="B27" s="17" t="s">
        <v>95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>
      <c r="A28" s="20" t="s">
        <v>56</v>
      </c>
      <c r="B28" s="5" t="s">
        <v>33</v>
      </c>
      <c r="C28" s="21" t="s">
        <v>26</v>
      </c>
      <c r="D28" s="22" t="s">
        <v>27</v>
      </c>
      <c r="E28" s="20" t="s">
        <v>26</v>
      </c>
    </row>
    <row r="29" customFormat="false" ht="30" hidden="false" customHeight="true" outlineLevel="0" collapsed="false">
      <c r="A29" s="16" t="s">
        <v>57</v>
      </c>
      <c r="B29" s="17" t="s">
        <v>88</v>
      </c>
      <c r="C29" s="18" t="s">
        <v>26</v>
      </c>
      <c r="D29" s="19" t="s">
        <v>27</v>
      </c>
      <c r="E29" s="16" t="s">
        <v>26</v>
      </c>
    </row>
    <row r="30" customFormat="false" ht="30" hidden="false" customHeight="true" outlineLevel="0" collapsed="false">
      <c r="A30" s="20" t="s">
        <v>30</v>
      </c>
      <c r="B30" s="5" t="s">
        <v>31</v>
      </c>
      <c r="C30" s="21" t="s">
        <v>26</v>
      </c>
      <c r="D30" s="22" t="s">
        <v>27</v>
      </c>
      <c r="E30" s="20" t="s">
        <v>26</v>
      </c>
    </row>
    <row r="31" customFormat="false" ht="30" hidden="false" customHeight="true" outlineLevel="0" collapsed="false"/>
    <row r="32" customFormat="false" ht="15" hidden="false" customHeight="false" outlineLevel="0" collapsed="false">
      <c r="A32" s="15" t="s">
        <v>58</v>
      </c>
    </row>
    <row r="33" customFormat="false" ht="30" hidden="false" customHeight="true" outlineLevel="0" collapsed="false">
      <c r="A33" s="16" t="s">
        <v>59</v>
      </c>
      <c r="B33" s="17" t="s">
        <v>44</v>
      </c>
      <c r="C33" s="18" t="s">
        <v>118</v>
      </c>
      <c r="D33" s="19" t="n">
        <f aca="false">MROUND(MROUND(Inputs!$B$3*0.7,5)+20,5)</f>
        <v>230</v>
      </c>
      <c r="E33" s="16" t="s">
        <v>61</v>
      </c>
    </row>
    <row r="34" customFormat="false" ht="30" hidden="false" customHeight="true" outlineLevel="0" collapsed="false">
      <c r="A34" s="20" t="s">
        <v>62</v>
      </c>
      <c r="B34" s="5" t="s">
        <v>63</v>
      </c>
      <c r="C34" s="21" t="s">
        <v>64</v>
      </c>
      <c r="D34" s="22" t="s">
        <v>27</v>
      </c>
      <c r="E34" s="20" t="s">
        <v>65</v>
      </c>
    </row>
    <row r="35" customFormat="false" ht="30" hidden="false" customHeight="true" outlineLevel="0" collapsed="false">
      <c r="A35" s="16" t="s">
        <v>48</v>
      </c>
      <c r="B35" s="17" t="s">
        <v>66</v>
      </c>
      <c r="C35" s="18" t="s">
        <v>26</v>
      </c>
      <c r="D35" s="19" t="s">
        <v>27</v>
      </c>
      <c r="E35" s="16" t="s">
        <v>26</v>
      </c>
    </row>
    <row r="36" customFormat="false" ht="30" hidden="false" customHeight="true" outlineLevel="0" collapsed="false">
      <c r="A36" s="20" t="s">
        <v>67</v>
      </c>
      <c r="B36" s="5" t="s">
        <v>68</v>
      </c>
      <c r="C36" s="21" t="s">
        <v>26</v>
      </c>
      <c r="D36" s="22" t="s">
        <v>27</v>
      </c>
      <c r="E36" s="20" t="s">
        <v>26</v>
      </c>
    </row>
    <row r="37" customFormat="false" ht="30" hidden="false" customHeight="true" outlineLevel="0" collapsed="false"/>
  </sheetData>
  <autoFilter ref="A4:E3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119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0.92</v>
      </c>
      <c r="D6" s="19" t="n">
        <f aca="false">MROUND(Inputs!$B$3*C6,5)</f>
        <v>275</v>
      </c>
      <c r="E6" s="16" t="s">
        <v>115</v>
      </c>
    </row>
    <row r="7" customFormat="false" ht="30" hidden="false" customHeight="true" outlineLevel="0" collapsed="false">
      <c r="A7" s="20" t="s">
        <v>82</v>
      </c>
      <c r="B7" s="5" t="s">
        <v>120</v>
      </c>
      <c r="C7" s="21" t="n">
        <v>0.87</v>
      </c>
      <c r="D7" s="22" t="n">
        <f aca="false">MROUND(Inputs!$B$3*C7,5)</f>
        <v>260</v>
      </c>
      <c r="E7" s="20" t="s">
        <v>92</v>
      </c>
    </row>
    <row r="8" customFormat="false" ht="30" hidden="false" customHeight="true" outlineLevel="0" collapsed="false">
      <c r="A8" s="16" t="s">
        <v>102</v>
      </c>
      <c r="B8" s="17" t="s">
        <v>93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95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74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121</v>
      </c>
      <c r="C13" s="21" t="n">
        <v>0.87</v>
      </c>
      <c r="D13" s="22" t="n">
        <f aca="false">MROUND(Inputs!$B$5*C13,5)</f>
        <v>180</v>
      </c>
      <c r="E13" s="20" t="s">
        <v>92</v>
      </c>
    </row>
    <row r="14" customFormat="false" ht="30" hidden="false" customHeight="true" outlineLevel="0" collapsed="false">
      <c r="A14" s="16" t="s">
        <v>37</v>
      </c>
      <c r="B14" s="17" t="s">
        <v>122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68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29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33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123</v>
      </c>
      <c r="C20" s="18" t="n">
        <v>0.86</v>
      </c>
      <c r="D20" s="19" t="n">
        <f aca="false">MROUND(Inputs!$B$4*C20,5)</f>
        <v>320</v>
      </c>
      <c r="E20" s="16" t="s">
        <v>92</v>
      </c>
    </row>
    <row r="21" customFormat="false" ht="30" hidden="false" customHeight="true" outlineLevel="0" collapsed="false">
      <c r="A21" s="20" t="s">
        <v>45</v>
      </c>
      <c r="B21" s="5" t="s">
        <v>46</v>
      </c>
      <c r="C21" s="21" t="n">
        <v>0.666666666666667</v>
      </c>
      <c r="D21" s="22" t="n">
        <f aca="false">MROUND((Inputs!$B$4/0.9*0.6+30),5)</f>
        <v>275</v>
      </c>
      <c r="E21" s="20" t="s">
        <v>47</v>
      </c>
    </row>
    <row r="22" customFormat="false" ht="30" hidden="false" customHeight="true" outlineLevel="0" collapsed="false">
      <c r="A22" s="20" t="s">
        <v>48</v>
      </c>
      <c r="B22" s="5" t="s">
        <v>124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>
      <c r="A23" s="16" t="s">
        <v>50</v>
      </c>
      <c r="B23" s="17" t="s">
        <v>125</v>
      </c>
      <c r="C23" s="18" t="s">
        <v>26</v>
      </c>
      <c r="D23" s="19" t="s">
        <v>27</v>
      </c>
      <c r="E23" s="16" t="s">
        <v>26</v>
      </c>
    </row>
    <row r="25" customFormat="false" ht="30" hidden="false" customHeight="true" outlineLevel="0" collapsed="false">
      <c r="A25" s="15" t="s">
        <v>52</v>
      </c>
    </row>
    <row r="26" customFormat="false" ht="30" hidden="false" customHeight="true" outlineLevel="0" collapsed="false">
      <c r="A26" s="16" t="s">
        <v>96</v>
      </c>
      <c r="B26" s="17" t="s">
        <v>46</v>
      </c>
      <c r="C26" s="18" t="n">
        <v>0.65</v>
      </c>
      <c r="D26" s="19" t="n">
        <f aca="false">MROUND(Inputs!$B$5*C26,5)</f>
        <v>135</v>
      </c>
      <c r="E26" s="16" t="s">
        <v>23</v>
      </c>
    </row>
    <row r="27" customFormat="false" ht="30" hidden="false" customHeight="true" outlineLevel="0" collapsed="false">
      <c r="A27" s="16" t="s">
        <v>55</v>
      </c>
      <c r="B27" s="17" t="s">
        <v>95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>
      <c r="A28" s="20" t="s">
        <v>56</v>
      </c>
      <c r="B28" s="5" t="s">
        <v>33</v>
      </c>
      <c r="C28" s="21" t="s">
        <v>26</v>
      </c>
      <c r="D28" s="22" t="s">
        <v>27</v>
      </c>
      <c r="E28" s="20" t="s">
        <v>26</v>
      </c>
    </row>
    <row r="29" customFormat="false" ht="30" hidden="false" customHeight="true" outlineLevel="0" collapsed="false">
      <c r="A29" s="16" t="s">
        <v>57</v>
      </c>
      <c r="B29" s="17" t="s">
        <v>95</v>
      </c>
      <c r="C29" s="18" t="s">
        <v>26</v>
      </c>
      <c r="D29" s="19" t="s">
        <v>27</v>
      </c>
      <c r="E29" s="16" t="s">
        <v>26</v>
      </c>
    </row>
    <row r="30" customFormat="false" ht="30" hidden="false" customHeight="true" outlineLevel="0" collapsed="false">
      <c r="A30" s="20" t="s">
        <v>30</v>
      </c>
      <c r="B30" s="5" t="s">
        <v>31</v>
      </c>
      <c r="C30" s="21" t="s">
        <v>26</v>
      </c>
      <c r="D30" s="22" t="s">
        <v>27</v>
      </c>
      <c r="E30" s="20" t="s">
        <v>26</v>
      </c>
    </row>
    <row r="31" customFormat="false" ht="30" hidden="false" customHeight="true" outlineLevel="0" collapsed="false"/>
    <row r="32" customFormat="false" ht="15" hidden="false" customHeight="false" outlineLevel="0" collapsed="false">
      <c r="A32" s="15" t="s">
        <v>58</v>
      </c>
    </row>
    <row r="33" customFormat="false" ht="30" hidden="false" customHeight="true" outlineLevel="0" collapsed="false">
      <c r="A33" s="16" t="s">
        <v>126</v>
      </c>
      <c r="B33" s="17" t="s">
        <v>46</v>
      </c>
      <c r="C33" s="18" t="s">
        <v>127</v>
      </c>
      <c r="D33" s="19" t="n">
        <f aca="false">MROUND(MROUND(Inputs!$B$3*0.75,5)+0,5)</f>
        <v>225</v>
      </c>
      <c r="E33" s="16" t="s">
        <v>61</v>
      </c>
    </row>
    <row r="34" customFormat="false" ht="30" hidden="false" customHeight="true" outlineLevel="0" collapsed="false">
      <c r="A34" s="20" t="s">
        <v>62</v>
      </c>
      <c r="B34" s="5" t="s">
        <v>63</v>
      </c>
      <c r="C34" s="21" t="s">
        <v>64</v>
      </c>
      <c r="D34" s="22" t="s">
        <v>27</v>
      </c>
      <c r="E34" s="20" t="s">
        <v>65</v>
      </c>
    </row>
    <row r="35" customFormat="false" ht="30" hidden="false" customHeight="true" outlineLevel="0" collapsed="false">
      <c r="A35" s="16" t="s">
        <v>48</v>
      </c>
      <c r="B35" s="17" t="s">
        <v>124</v>
      </c>
      <c r="C35" s="18" t="s">
        <v>26</v>
      </c>
      <c r="D35" s="19" t="s">
        <v>27</v>
      </c>
      <c r="E35" s="16" t="s">
        <v>26</v>
      </c>
    </row>
    <row r="36" customFormat="false" ht="30" hidden="false" customHeight="true" outlineLevel="0" collapsed="false">
      <c r="A36" s="20" t="s">
        <v>67</v>
      </c>
      <c r="B36" s="5" t="s">
        <v>68</v>
      </c>
      <c r="C36" s="21" t="s">
        <v>26</v>
      </c>
      <c r="D36" s="22" t="s">
        <v>27</v>
      </c>
      <c r="E36" s="20" t="s">
        <v>26</v>
      </c>
    </row>
    <row r="37" customFormat="false" ht="30" hidden="false" customHeight="true" outlineLevel="0" collapsed="false"/>
  </sheetData>
  <autoFilter ref="A4:E3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128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0.92</v>
      </c>
      <c r="D6" s="19" t="n">
        <f aca="false">MROUND(Inputs!$B$3*C6,5)</f>
        <v>275</v>
      </c>
      <c r="E6" s="16" t="s">
        <v>115</v>
      </c>
    </row>
    <row r="7" customFormat="false" ht="30" hidden="false" customHeight="true" outlineLevel="0" collapsed="false">
      <c r="A7" s="20" t="s">
        <v>82</v>
      </c>
      <c r="B7" s="5" t="s">
        <v>129</v>
      </c>
      <c r="C7" s="21" t="n">
        <v>0.87</v>
      </c>
      <c r="D7" s="22" t="n">
        <f aca="false">MROUND(Inputs!$B$3*C7,5)</f>
        <v>260</v>
      </c>
      <c r="E7" s="20" t="s">
        <v>130</v>
      </c>
    </row>
    <row r="8" customFormat="false" ht="30" hidden="false" customHeight="true" outlineLevel="0" collapsed="false">
      <c r="A8" s="16" t="s">
        <v>102</v>
      </c>
      <c r="B8" s="17" t="s">
        <v>93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103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131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132</v>
      </c>
      <c r="C13" s="21" t="n">
        <v>0.9</v>
      </c>
      <c r="D13" s="22" t="n">
        <f aca="false">MROUND(Inputs!$B$5*C13,5)</f>
        <v>185</v>
      </c>
      <c r="E13" s="20" t="s">
        <v>133</v>
      </c>
    </row>
    <row r="14" customFormat="false" ht="30" hidden="false" customHeight="true" outlineLevel="0" collapsed="false">
      <c r="A14" s="16" t="s">
        <v>37</v>
      </c>
      <c r="B14" s="17" t="s">
        <v>44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51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66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49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129</v>
      </c>
      <c r="C20" s="18" t="n">
        <v>0.89</v>
      </c>
      <c r="D20" s="19" t="n">
        <f aca="false">MROUND(Inputs!$B$4*C20,5)</f>
        <v>330</v>
      </c>
      <c r="E20" s="16" t="s">
        <v>133</v>
      </c>
    </row>
    <row r="21" customFormat="false" ht="30" hidden="false" customHeight="true" outlineLevel="0" collapsed="false">
      <c r="A21" s="20" t="s">
        <v>45</v>
      </c>
      <c r="B21" s="5" t="s">
        <v>46</v>
      </c>
      <c r="C21" s="21" t="n">
        <v>0.666666666666667</v>
      </c>
      <c r="D21" s="22" t="n">
        <f aca="false">MROUND((Inputs!$B$4/0.9*0.6+35),5)</f>
        <v>280</v>
      </c>
      <c r="E21" s="20" t="s">
        <v>47</v>
      </c>
    </row>
    <row r="22" customFormat="false" ht="30" hidden="false" customHeight="true" outlineLevel="0" collapsed="false">
      <c r="A22" s="20" t="s">
        <v>48</v>
      </c>
      <c r="B22" s="5" t="s">
        <v>103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>
      <c r="A23" s="16" t="s">
        <v>50</v>
      </c>
      <c r="B23" s="17" t="s">
        <v>134</v>
      </c>
      <c r="C23" s="18" t="s">
        <v>26</v>
      </c>
      <c r="D23" s="19" t="s">
        <v>27</v>
      </c>
      <c r="E23" s="16" t="s">
        <v>26</v>
      </c>
    </row>
    <row r="25" customFormat="false" ht="30" hidden="false" customHeight="true" outlineLevel="0" collapsed="false">
      <c r="A25" s="15" t="s">
        <v>52</v>
      </c>
    </row>
    <row r="26" customFormat="false" ht="30" hidden="false" customHeight="true" outlineLevel="0" collapsed="false">
      <c r="A26" s="16" t="s">
        <v>76</v>
      </c>
      <c r="B26" s="17" t="s">
        <v>129</v>
      </c>
      <c r="C26" s="18" t="n">
        <v>0.7</v>
      </c>
      <c r="D26" s="19" t="n">
        <f aca="false">MROUND(Inputs!$B$5*C26,5)</f>
        <v>145</v>
      </c>
      <c r="E26" s="16" t="s">
        <v>23</v>
      </c>
    </row>
    <row r="27" customFormat="false" ht="30" hidden="false" customHeight="true" outlineLevel="0" collapsed="false">
      <c r="A27" s="16" t="s">
        <v>55</v>
      </c>
      <c r="B27" s="17" t="s">
        <v>95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>
      <c r="A28" s="20" t="s">
        <v>56</v>
      </c>
      <c r="B28" s="5" t="s">
        <v>33</v>
      </c>
      <c r="C28" s="21" t="s">
        <v>26</v>
      </c>
      <c r="D28" s="22" t="s">
        <v>27</v>
      </c>
      <c r="E28" s="20" t="s">
        <v>26</v>
      </c>
    </row>
    <row r="29" customFormat="false" ht="30" hidden="false" customHeight="true" outlineLevel="0" collapsed="false">
      <c r="A29" s="16" t="s">
        <v>57</v>
      </c>
      <c r="B29" s="17" t="s">
        <v>95</v>
      </c>
      <c r="C29" s="18" t="s">
        <v>26</v>
      </c>
      <c r="D29" s="19" t="s">
        <v>27</v>
      </c>
      <c r="E29" s="16" t="s">
        <v>26</v>
      </c>
    </row>
    <row r="30" customFormat="false" ht="30" hidden="false" customHeight="true" outlineLevel="0" collapsed="false">
      <c r="A30" s="20" t="s">
        <v>30</v>
      </c>
      <c r="B30" s="5" t="s">
        <v>135</v>
      </c>
      <c r="C30" s="21" t="s">
        <v>26</v>
      </c>
      <c r="D30" s="22" t="s">
        <v>27</v>
      </c>
      <c r="E30" s="20" t="s">
        <v>26</v>
      </c>
    </row>
    <row r="31" customFormat="false" ht="30" hidden="false" customHeight="true" outlineLevel="0" collapsed="false"/>
    <row r="32" customFormat="false" ht="15" hidden="false" customHeight="false" outlineLevel="0" collapsed="false">
      <c r="A32" s="15" t="s">
        <v>58</v>
      </c>
    </row>
    <row r="33" customFormat="false" ht="30" hidden="false" customHeight="true" outlineLevel="0" collapsed="false">
      <c r="A33" s="16" t="s">
        <v>126</v>
      </c>
      <c r="B33" s="17" t="s">
        <v>108</v>
      </c>
      <c r="C33" s="18" t="s">
        <v>136</v>
      </c>
      <c r="D33" s="19" t="n">
        <f aca="false">MROUND(MROUND(Inputs!$B$3*0.75,5)+5,5)</f>
        <v>230</v>
      </c>
      <c r="E33" s="16" t="s">
        <v>61</v>
      </c>
    </row>
    <row r="34" customFormat="false" ht="30" hidden="false" customHeight="true" outlineLevel="0" collapsed="false">
      <c r="A34" s="20" t="s">
        <v>62</v>
      </c>
      <c r="B34" s="5" t="s">
        <v>63</v>
      </c>
      <c r="C34" s="21" t="s">
        <v>64</v>
      </c>
      <c r="D34" s="22" t="s">
        <v>27</v>
      </c>
      <c r="E34" s="20" t="s">
        <v>65</v>
      </c>
    </row>
    <row r="35" customFormat="false" ht="30" hidden="false" customHeight="true" outlineLevel="0" collapsed="false">
      <c r="A35" s="16" t="s">
        <v>48</v>
      </c>
      <c r="B35" s="17" t="s">
        <v>103</v>
      </c>
      <c r="C35" s="18" t="s">
        <v>26</v>
      </c>
      <c r="D35" s="19" t="s">
        <v>27</v>
      </c>
      <c r="E35" s="16" t="s">
        <v>26</v>
      </c>
    </row>
    <row r="36" customFormat="false" ht="30" hidden="false" customHeight="true" outlineLevel="0" collapsed="false">
      <c r="A36" s="20" t="s">
        <v>67</v>
      </c>
      <c r="B36" s="5" t="s">
        <v>51</v>
      </c>
      <c r="C36" s="21" t="s">
        <v>26</v>
      </c>
      <c r="D36" s="22" t="s">
        <v>27</v>
      </c>
      <c r="E36" s="20" t="s">
        <v>26</v>
      </c>
    </row>
    <row r="37" customFormat="false" ht="30" hidden="false" customHeight="true" outlineLevel="0" collapsed="false"/>
  </sheetData>
  <autoFilter ref="A4:E3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137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0.92</v>
      </c>
      <c r="D6" s="19" t="n">
        <f aca="false">MROUND(Inputs!$B$3*C6,5)</f>
        <v>275</v>
      </c>
      <c r="E6" s="16" t="s">
        <v>115</v>
      </c>
    </row>
    <row r="7" customFormat="false" ht="30" hidden="false" customHeight="true" outlineLevel="0" collapsed="false">
      <c r="A7" s="20" t="s">
        <v>82</v>
      </c>
      <c r="B7" s="5" t="s">
        <v>138</v>
      </c>
      <c r="C7" s="21" t="n">
        <v>0.87</v>
      </c>
      <c r="D7" s="22" t="n">
        <f aca="false">MROUND(Inputs!$B$3*C7,5)</f>
        <v>260</v>
      </c>
      <c r="E7" s="20" t="s">
        <v>139</v>
      </c>
    </row>
    <row r="8" customFormat="false" ht="30" hidden="false" customHeight="true" outlineLevel="0" collapsed="false">
      <c r="A8" s="16" t="s">
        <v>102</v>
      </c>
      <c r="B8" s="17" t="s">
        <v>93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103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140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141</v>
      </c>
      <c r="C13" s="21" t="n">
        <v>0.88</v>
      </c>
      <c r="D13" s="22" t="n">
        <f aca="false">MROUND(Inputs!$B$5*C13,5)</f>
        <v>180</v>
      </c>
      <c r="E13" s="20" t="s">
        <v>133</v>
      </c>
    </row>
    <row r="14" customFormat="false" ht="30" hidden="false" customHeight="true" outlineLevel="0" collapsed="false">
      <c r="A14" s="16" t="s">
        <v>37</v>
      </c>
      <c r="B14" s="17" t="s">
        <v>142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51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40</v>
      </c>
      <c r="B16" s="17" t="s">
        <v>66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41</v>
      </c>
      <c r="B17" s="5" t="s">
        <v>49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138</v>
      </c>
      <c r="C20" s="18" t="n">
        <v>0.88</v>
      </c>
      <c r="D20" s="19" t="n">
        <f aca="false">MROUND(Inputs!$B$4*C20,5)</f>
        <v>325</v>
      </c>
      <c r="E20" s="16" t="s">
        <v>133</v>
      </c>
    </row>
    <row r="21" customFormat="false" ht="30" hidden="false" customHeight="true" outlineLevel="0" collapsed="false">
      <c r="A21" s="20" t="s">
        <v>45</v>
      </c>
      <c r="B21" s="5" t="s">
        <v>46</v>
      </c>
      <c r="C21" s="21" t="n">
        <v>0.666666666666667</v>
      </c>
      <c r="D21" s="22" t="n">
        <f aca="false">MROUND((Inputs!$B$4/0.9*0.6+40),5)</f>
        <v>285</v>
      </c>
      <c r="E21" s="20" t="s">
        <v>47</v>
      </c>
    </row>
    <row r="22" customFormat="false" ht="30" hidden="false" customHeight="true" outlineLevel="0" collapsed="false">
      <c r="A22" s="20" t="s">
        <v>48</v>
      </c>
      <c r="B22" s="5" t="s">
        <v>143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>
      <c r="A23" s="16" t="s">
        <v>50</v>
      </c>
      <c r="B23" s="17" t="s">
        <v>109</v>
      </c>
      <c r="C23" s="18" t="s">
        <v>26</v>
      </c>
      <c r="D23" s="19" t="s">
        <v>27</v>
      </c>
      <c r="E23" s="16" t="s">
        <v>26</v>
      </c>
    </row>
    <row r="25" customFormat="false" ht="30" hidden="false" customHeight="true" outlineLevel="0" collapsed="false">
      <c r="A25" s="15" t="s">
        <v>52</v>
      </c>
    </row>
    <row r="26" customFormat="false" ht="30" hidden="false" customHeight="true" outlineLevel="0" collapsed="false">
      <c r="A26" s="16" t="s">
        <v>144</v>
      </c>
      <c r="B26" s="17" t="s">
        <v>129</v>
      </c>
      <c r="C26" s="18" t="n">
        <v>0.83</v>
      </c>
      <c r="D26" s="19" t="n">
        <f aca="false">MROUND(Inputs!$B$5*C26,5)</f>
        <v>170</v>
      </c>
      <c r="E26" s="16" t="s">
        <v>84</v>
      </c>
    </row>
    <row r="27" customFormat="false" ht="30" hidden="false" customHeight="true" outlineLevel="0" collapsed="false">
      <c r="A27" s="16" t="s">
        <v>55</v>
      </c>
      <c r="B27" s="17" t="s">
        <v>103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>
      <c r="A28" s="20" t="s">
        <v>56</v>
      </c>
      <c r="B28" s="5" t="s">
        <v>49</v>
      </c>
      <c r="C28" s="21" t="s">
        <v>26</v>
      </c>
      <c r="D28" s="22" t="s">
        <v>27</v>
      </c>
      <c r="E28" s="20" t="s">
        <v>26</v>
      </c>
    </row>
    <row r="29" customFormat="false" ht="30" hidden="false" customHeight="true" outlineLevel="0" collapsed="false">
      <c r="A29" s="16" t="s">
        <v>57</v>
      </c>
      <c r="B29" s="17" t="s">
        <v>103</v>
      </c>
      <c r="C29" s="18" t="s">
        <v>26</v>
      </c>
      <c r="D29" s="19" t="s">
        <v>27</v>
      </c>
      <c r="E29" s="16" t="s">
        <v>26</v>
      </c>
    </row>
    <row r="30" customFormat="false" ht="30" hidden="false" customHeight="true" outlineLevel="0" collapsed="false">
      <c r="A30" s="20" t="s">
        <v>30</v>
      </c>
      <c r="B30" s="5" t="s">
        <v>135</v>
      </c>
      <c r="C30" s="21" t="s">
        <v>26</v>
      </c>
      <c r="D30" s="22" t="s">
        <v>27</v>
      </c>
      <c r="E30" s="20" t="s">
        <v>26</v>
      </c>
    </row>
    <row r="31" customFormat="false" ht="30" hidden="false" customHeight="true" outlineLevel="0" collapsed="false"/>
    <row r="32" customFormat="false" ht="15" hidden="false" customHeight="false" outlineLevel="0" collapsed="false">
      <c r="A32" s="15" t="s">
        <v>58</v>
      </c>
    </row>
    <row r="33" customFormat="false" ht="30" hidden="false" customHeight="true" outlineLevel="0" collapsed="false">
      <c r="A33" s="16" t="s">
        <v>126</v>
      </c>
      <c r="B33" s="17" t="s">
        <v>138</v>
      </c>
      <c r="C33" s="18" t="s">
        <v>145</v>
      </c>
      <c r="D33" s="19" t="n">
        <f aca="false">MROUND(MROUND(Inputs!$B$3*0.75,5)+10,5)</f>
        <v>235</v>
      </c>
      <c r="E33" s="16" t="s">
        <v>61</v>
      </c>
    </row>
    <row r="34" customFormat="false" ht="30" hidden="false" customHeight="true" outlineLevel="0" collapsed="false">
      <c r="A34" s="20" t="s">
        <v>62</v>
      </c>
      <c r="B34" s="5" t="s">
        <v>63</v>
      </c>
      <c r="C34" s="21" t="s">
        <v>64</v>
      </c>
      <c r="D34" s="22" t="s">
        <v>27</v>
      </c>
      <c r="E34" s="20" t="s">
        <v>65</v>
      </c>
    </row>
    <row r="35" customFormat="false" ht="30" hidden="false" customHeight="true" outlineLevel="0" collapsed="false">
      <c r="A35" s="16" t="s">
        <v>48</v>
      </c>
      <c r="B35" s="17" t="s">
        <v>143</v>
      </c>
      <c r="C35" s="18" t="s">
        <v>26</v>
      </c>
      <c r="D35" s="19" t="s">
        <v>27</v>
      </c>
      <c r="E35" s="16" t="s">
        <v>26</v>
      </c>
    </row>
    <row r="36" customFormat="false" ht="30" hidden="false" customHeight="true" outlineLevel="0" collapsed="false">
      <c r="A36" s="20" t="s">
        <v>67</v>
      </c>
      <c r="B36" s="5" t="s">
        <v>51</v>
      </c>
      <c r="C36" s="21" t="s">
        <v>26</v>
      </c>
      <c r="D36" s="22" t="s">
        <v>27</v>
      </c>
      <c r="E36" s="20" t="s">
        <v>26</v>
      </c>
    </row>
    <row r="37" customFormat="false" ht="30" hidden="false" customHeight="true" outlineLevel="0" collapsed="false"/>
  </sheetData>
  <autoFilter ref="A4:E3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146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99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0.6</v>
      </c>
      <c r="D6" s="19" t="n">
        <f aca="false">MROUND(Inputs!$B$3*C6,5)</f>
        <v>180</v>
      </c>
      <c r="E6" s="16" t="s">
        <v>100</v>
      </c>
    </row>
    <row r="7" customFormat="false" ht="30" hidden="false" customHeight="true" outlineLevel="0" collapsed="false">
      <c r="A7" s="20" t="s">
        <v>82</v>
      </c>
      <c r="B7" s="5" t="s">
        <v>129</v>
      </c>
      <c r="C7" s="21" t="n">
        <v>0.65</v>
      </c>
      <c r="D7" s="22" t="n">
        <f aca="false">MROUND(Inputs!$B$3*C7,5)</f>
        <v>195</v>
      </c>
      <c r="E7" s="20" t="s">
        <v>147</v>
      </c>
    </row>
    <row r="8" customFormat="false" ht="30" hidden="false" customHeight="true" outlineLevel="0" collapsed="false">
      <c r="A8" s="16" t="s">
        <v>102</v>
      </c>
      <c r="B8" s="17" t="s">
        <v>148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72</v>
      </c>
      <c r="B9" s="5" t="s">
        <v>51</v>
      </c>
      <c r="C9" s="21" t="s">
        <v>26</v>
      </c>
      <c r="D9" s="22" t="s">
        <v>27</v>
      </c>
      <c r="E9" s="20" t="s">
        <v>26</v>
      </c>
    </row>
    <row r="10" customFormat="false" ht="30" hidden="false" customHeight="true" outlineLevel="0" collapsed="false">
      <c r="A10" s="16" t="s">
        <v>73</v>
      </c>
      <c r="B10" s="17" t="s">
        <v>104</v>
      </c>
      <c r="C10" s="18" t="s">
        <v>26</v>
      </c>
      <c r="D10" s="19" t="s">
        <v>27</v>
      </c>
      <c r="E10" s="16" t="s">
        <v>26</v>
      </c>
    </row>
    <row r="12" customFormat="false" ht="30" hidden="false" customHeight="true" outlineLevel="0" collapsed="false">
      <c r="A12" s="15" t="s">
        <v>34</v>
      </c>
    </row>
    <row r="13" customFormat="false" ht="30" hidden="false" customHeight="true" outlineLevel="0" collapsed="false">
      <c r="A13" s="20" t="s">
        <v>87</v>
      </c>
      <c r="B13" s="5" t="s">
        <v>120</v>
      </c>
      <c r="C13" s="21" t="n">
        <v>0.65</v>
      </c>
      <c r="D13" s="22" t="n">
        <f aca="false">MROUND(Inputs!$B$5*C13,5)</f>
        <v>135</v>
      </c>
      <c r="E13" s="20" t="s">
        <v>101</v>
      </c>
    </row>
    <row r="14" customFormat="false" ht="30" hidden="false" customHeight="true" outlineLevel="0" collapsed="false">
      <c r="A14" s="16" t="s">
        <v>37</v>
      </c>
      <c r="B14" s="17" t="s">
        <v>106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39</v>
      </c>
      <c r="B15" s="5" t="s">
        <v>51</v>
      </c>
      <c r="C15" s="21" t="s">
        <v>26</v>
      </c>
      <c r="D15" s="22" t="s">
        <v>27</v>
      </c>
      <c r="E15" s="20" t="s">
        <v>26</v>
      </c>
    </row>
    <row r="16" customFormat="false" ht="30" hidden="false" customHeight="true" outlineLevel="0" collapsed="false">
      <c r="A16" s="16" t="s">
        <v>41</v>
      </c>
      <c r="B16" s="17" t="s">
        <v>49</v>
      </c>
      <c r="C16" s="18" t="s">
        <v>26</v>
      </c>
      <c r="D16" s="19" t="s">
        <v>27</v>
      </c>
      <c r="E16" s="16" t="s">
        <v>26</v>
      </c>
    </row>
    <row r="17" customFormat="false" ht="30" hidden="false" customHeight="true" outlineLevel="0" collapsed="false">
      <c r="A17" s="20" t="s">
        <v>30</v>
      </c>
      <c r="B17" s="5" t="s">
        <v>107</v>
      </c>
      <c r="C17" s="21" t="s">
        <v>26</v>
      </c>
      <c r="D17" s="22" t="s">
        <v>27</v>
      </c>
      <c r="E17" s="20" t="s">
        <v>26</v>
      </c>
    </row>
    <row r="19" customFormat="false" ht="30" hidden="false" customHeight="true" outlineLevel="0" collapsed="false">
      <c r="A19" s="15" t="s">
        <v>42</v>
      </c>
    </row>
    <row r="20" customFormat="false" ht="30" hidden="false" customHeight="true" outlineLevel="0" collapsed="false">
      <c r="A20" s="16" t="s">
        <v>43</v>
      </c>
      <c r="B20" s="17" t="s">
        <v>138</v>
      </c>
      <c r="C20" s="18" t="n">
        <v>0.6</v>
      </c>
      <c r="D20" s="19" t="n">
        <f aca="false">MROUND(Inputs!$B$4*C20,5)</f>
        <v>220</v>
      </c>
      <c r="E20" s="16" t="s">
        <v>101</v>
      </c>
    </row>
    <row r="21" customFormat="false" ht="30" hidden="false" customHeight="true" outlineLevel="0" collapsed="false">
      <c r="A21" s="20" t="s">
        <v>45</v>
      </c>
      <c r="B21" s="5" t="s">
        <v>108</v>
      </c>
      <c r="C21" s="21" t="n">
        <v>0.611111111111111</v>
      </c>
      <c r="D21" s="22" t="n">
        <f aca="false">MROUND((Inputs!$B$4/0.9*0.55),5)</f>
        <v>225</v>
      </c>
      <c r="E21" s="20" t="s">
        <v>47</v>
      </c>
    </row>
    <row r="22" customFormat="false" ht="30" hidden="false" customHeight="true" outlineLevel="0" collapsed="false">
      <c r="A22" s="20" t="s">
        <v>48</v>
      </c>
      <c r="B22" s="5" t="s">
        <v>103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>
      <c r="A23" s="16" t="s">
        <v>50</v>
      </c>
      <c r="B23" s="17" t="s">
        <v>109</v>
      </c>
      <c r="C23" s="18" t="s">
        <v>26</v>
      </c>
      <c r="D23" s="19" t="s">
        <v>27</v>
      </c>
      <c r="E23" s="16" t="s">
        <v>26</v>
      </c>
    </row>
    <row r="25" customFormat="false" ht="30" hidden="false" customHeight="true" outlineLevel="0" collapsed="false">
      <c r="A25" s="15" t="s">
        <v>52</v>
      </c>
    </row>
    <row r="26" customFormat="false" ht="30" hidden="false" customHeight="true" outlineLevel="0" collapsed="false">
      <c r="A26" s="16" t="s">
        <v>110</v>
      </c>
      <c r="B26" s="17" t="s">
        <v>129</v>
      </c>
      <c r="C26" s="18" t="n">
        <v>0.6</v>
      </c>
      <c r="D26" s="19" t="n">
        <f aca="false">MROUND(Inputs!$B$5*C26,5)</f>
        <v>125</v>
      </c>
      <c r="E26" s="16" t="s">
        <v>101</v>
      </c>
    </row>
    <row r="27" customFormat="false" ht="30" hidden="false" customHeight="true" outlineLevel="0" collapsed="false">
      <c r="A27" s="16" t="s">
        <v>55</v>
      </c>
      <c r="B27" s="17" t="s">
        <v>103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>
      <c r="A28" s="20" t="s">
        <v>56</v>
      </c>
      <c r="B28" s="5" t="s">
        <v>149</v>
      </c>
      <c r="C28" s="21" t="s">
        <v>26</v>
      </c>
      <c r="D28" s="22" t="s">
        <v>27</v>
      </c>
      <c r="E28" s="20" t="s">
        <v>26</v>
      </c>
    </row>
    <row r="29" customFormat="false" ht="30" hidden="false" customHeight="true" outlineLevel="0" collapsed="false">
      <c r="A29" s="16" t="s">
        <v>57</v>
      </c>
      <c r="B29" s="17" t="s">
        <v>103</v>
      </c>
      <c r="C29" s="18" t="s">
        <v>26</v>
      </c>
      <c r="D29" s="19" t="s">
        <v>27</v>
      </c>
      <c r="E29" s="16" t="s">
        <v>26</v>
      </c>
    </row>
    <row r="30" customFormat="false" ht="30" hidden="false" customHeight="true" outlineLevel="0" collapsed="false"/>
    <row r="31" customFormat="false" ht="15" hidden="false" customHeight="false" outlineLevel="0" collapsed="false">
      <c r="A31" s="15" t="s">
        <v>58</v>
      </c>
    </row>
    <row r="32" customFormat="false" ht="30" hidden="false" customHeight="true" outlineLevel="0" collapsed="false">
      <c r="A32" s="20" t="s">
        <v>126</v>
      </c>
      <c r="B32" s="5" t="s">
        <v>138</v>
      </c>
      <c r="C32" s="21" t="s">
        <v>150</v>
      </c>
      <c r="D32" s="22" t="n">
        <f aca="false">MROUND(Inputs!$B$3*0.6,5)</f>
        <v>180</v>
      </c>
      <c r="E32" s="20" t="s">
        <v>112</v>
      </c>
    </row>
    <row r="33" customFormat="false" ht="30" hidden="false" customHeight="true" outlineLevel="0" collapsed="false">
      <c r="A33" s="16" t="s">
        <v>62</v>
      </c>
      <c r="B33" s="17" t="s">
        <v>63</v>
      </c>
      <c r="C33" s="18" t="s">
        <v>64</v>
      </c>
      <c r="D33" s="19" t="s">
        <v>27</v>
      </c>
      <c r="E33" s="16" t="s">
        <v>65</v>
      </c>
    </row>
    <row r="34" customFormat="false" ht="30" hidden="false" customHeight="true" outlineLevel="0" collapsed="false">
      <c r="A34" s="20" t="s">
        <v>48</v>
      </c>
      <c r="B34" s="5" t="s">
        <v>143</v>
      </c>
      <c r="C34" s="21" t="s">
        <v>26</v>
      </c>
      <c r="D34" s="22" t="s">
        <v>27</v>
      </c>
      <c r="E34" s="20" t="s">
        <v>26</v>
      </c>
    </row>
    <row r="35" customFormat="false" ht="30" hidden="false" customHeight="true" outlineLevel="0" collapsed="false"/>
  </sheetData>
  <autoFilter ref="A4:E3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151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99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0.9</v>
      </c>
      <c r="D6" s="19" t="n">
        <f aca="false">MROUND(Inputs!$B$3*C6,5)</f>
        <v>270</v>
      </c>
      <c r="E6" s="16" t="s">
        <v>133</v>
      </c>
    </row>
    <row r="7" customFormat="false" ht="30" hidden="false" customHeight="true" outlineLevel="0" collapsed="false">
      <c r="A7" s="20" t="s">
        <v>82</v>
      </c>
      <c r="B7" s="5" t="s">
        <v>152</v>
      </c>
      <c r="C7" s="21" t="n">
        <v>0.82</v>
      </c>
      <c r="D7" s="22" t="n">
        <f aca="false">MROUND(Inputs!$B$3*C7,5)</f>
        <v>245</v>
      </c>
      <c r="E7" s="20" t="s">
        <v>153</v>
      </c>
    </row>
    <row r="8" customFormat="false" ht="30" hidden="false" customHeight="true" outlineLevel="0" collapsed="false">
      <c r="A8" s="16" t="s">
        <v>73</v>
      </c>
      <c r="B8" s="17" t="s">
        <v>104</v>
      </c>
      <c r="C8" s="18" t="s">
        <v>26</v>
      </c>
      <c r="D8" s="19" t="s">
        <v>27</v>
      </c>
      <c r="E8" s="16" t="s">
        <v>26</v>
      </c>
    </row>
    <row r="9" customFormat="false" ht="30" hidden="false" customHeight="true" outlineLevel="0" collapsed="false">
      <c r="A9" s="20" t="s">
        <v>30</v>
      </c>
      <c r="B9" s="5" t="s">
        <v>107</v>
      </c>
      <c r="C9" s="21" t="s">
        <v>26</v>
      </c>
      <c r="D9" s="22" t="s">
        <v>27</v>
      </c>
      <c r="E9" s="20" t="s">
        <v>26</v>
      </c>
    </row>
    <row r="11" customFormat="false" ht="30" hidden="false" customHeight="true" outlineLevel="0" collapsed="false">
      <c r="A11" s="15" t="s">
        <v>34</v>
      </c>
    </row>
    <row r="12" customFormat="false" ht="30" hidden="false" customHeight="true" outlineLevel="0" collapsed="false">
      <c r="A12" s="16" t="s">
        <v>154</v>
      </c>
      <c r="B12" s="17" t="s">
        <v>19</v>
      </c>
      <c r="C12" s="18" t="n">
        <v>0.9</v>
      </c>
      <c r="D12" s="19" t="n">
        <f aca="false">MROUND(Inputs!$B$5*C12,5)</f>
        <v>185</v>
      </c>
      <c r="E12" s="16" t="s">
        <v>155</v>
      </c>
    </row>
    <row r="13" customFormat="false" ht="30" hidden="false" customHeight="true" outlineLevel="0" collapsed="false">
      <c r="A13" s="20" t="s">
        <v>156</v>
      </c>
      <c r="B13" s="5" t="s">
        <v>157</v>
      </c>
      <c r="C13" s="21" t="n">
        <v>0.82</v>
      </c>
      <c r="D13" s="22" t="n">
        <f aca="false">MROUND(Inputs!$B$5*C13,5)</f>
        <v>170</v>
      </c>
      <c r="E13" s="20" t="s">
        <v>158</v>
      </c>
    </row>
    <row r="14" customFormat="false" ht="30" hidden="false" customHeight="true" outlineLevel="0" collapsed="false">
      <c r="A14" s="16" t="s">
        <v>37</v>
      </c>
      <c r="B14" s="17" t="s">
        <v>108</v>
      </c>
      <c r="C14" s="18" t="s">
        <v>26</v>
      </c>
      <c r="D14" s="19" t="s">
        <v>27</v>
      </c>
      <c r="E14" s="16" t="s">
        <v>26</v>
      </c>
    </row>
    <row r="15" customFormat="false" ht="30" hidden="false" customHeight="true" outlineLevel="0" collapsed="false">
      <c r="A15" s="20" t="s">
        <v>41</v>
      </c>
      <c r="B15" s="5" t="s">
        <v>49</v>
      </c>
      <c r="C15" s="21" t="s">
        <v>26</v>
      </c>
      <c r="D15" s="22" t="s">
        <v>27</v>
      </c>
      <c r="E15" s="20" t="s">
        <v>26</v>
      </c>
    </row>
    <row r="17" customFormat="false" ht="30" hidden="false" customHeight="true" outlineLevel="0" collapsed="false">
      <c r="A17" s="15" t="s">
        <v>42</v>
      </c>
    </row>
    <row r="18" customFormat="false" ht="30" hidden="false" customHeight="true" outlineLevel="0" collapsed="false">
      <c r="A18" s="16" t="s">
        <v>43</v>
      </c>
      <c r="B18" s="17" t="s">
        <v>19</v>
      </c>
      <c r="C18" s="18" t="n">
        <v>0.88</v>
      </c>
      <c r="D18" s="19" t="n">
        <f aca="false">MROUND(Inputs!$B$4*C18,5)</f>
        <v>325</v>
      </c>
      <c r="E18" s="16" t="s">
        <v>133</v>
      </c>
    </row>
    <row r="19" customFormat="false" ht="30" hidden="false" customHeight="true" outlineLevel="0" collapsed="false">
      <c r="A19" s="16" t="s">
        <v>45</v>
      </c>
      <c r="B19" s="17" t="s">
        <v>46</v>
      </c>
      <c r="C19" s="18" t="n">
        <v>0.666666666666667</v>
      </c>
      <c r="D19" s="19" t="n">
        <f aca="false">MROUND((Inputs!$B$4/0.9*0.6+50),5)</f>
        <v>295</v>
      </c>
      <c r="E19" s="16" t="s">
        <v>47</v>
      </c>
    </row>
    <row r="20" customFormat="false" ht="30" hidden="false" customHeight="true" outlineLevel="0" collapsed="false">
      <c r="A20" s="20" t="s">
        <v>48</v>
      </c>
      <c r="B20" s="5" t="s">
        <v>103</v>
      </c>
      <c r="C20" s="21" t="s">
        <v>26</v>
      </c>
      <c r="D20" s="22" t="s">
        <v>27</v>
      </c>
      <c r="E20" s="20" t="s">
        <v>26</v>
      </c>
    </row>
    <row r="22" customFormat="false" ht="30" hidden="false" customHeight="true" outlineLevel="0" collapsed="false">
      <c r="A22" s="15" t="s">
        <v>52</v>
      </c>
    </row>
    <row r="23" customFormat="false" ht="30" hidden="false" customHeight="true" outlineLevel="0" collapsed="false">
      <c r="A23" s="20" t="s">
        <v>144</v>
      </c>
      <c r="B23" s="5" t="s">
        <v>138</v>
      </c>
      <c r="C23" s="21" t="n">
        <v>0.75</v>
      </c>
      <c r="D23" s="22" t="n">
        <f aca="false">MROUND(Inputs!$B$5*C23,5)</f>
        <v>155</v>
      </c>
      <c r="E23" s="20" t="s">
        <v>23</v>
      </c>
    </row>
    <row r="24" customFormat="false" ht="30" hidden="false" customHeight="true" outlineLevel="0" collapsed="false">
      <c r="A24" s="20" t="s">
        <v>55</v>
      </c>
      <c r="B24" s="5" t="s">
        <v>159</v>
      </c>
      <c r="C24" s="21" t="s">
        <v>26</v>
      </c>
      <c r="D24" s="22" t="s">
        <v>27</v>
      </c>
      <c r="E24" s="20" t="s">
        <v>26</v>
      </c>
    </row>
    <row r="25" customFormat="false" ht="30" hidden="false" customHeight="true" outlineLevel="0" collapsed="false">
      <c r="A25" s="16" t="s">
        <v>56</v>
      </c>
      <c r="B25" s="17" t="s">
        <v>149</v>
      </c>
      <c r="C25" s="18" t="s">
        <v>26</v>
      </c>
      <c r="D25" s="19" t="s">
        <v>27</v>
      </c>
      <c r="E25" s="16" t="s">
        <v>26</v>
      </c>
    </row>
    <row r="26" customFormat="false" ht="30" hidden="false" customHeight="true" outlineLevel="0" collapsed="false"/>
    <row r="27" customFormat="false" ht="15" hidden="false" customHeight="false" outlineLevel="0" collapsed="false">
      <c r="A27" s="15" t="s">
        <v>58</v>
      </c>
    </row>
    <row r="28" customFormat="false" ht="30" hidden="false" customHeight="true" outlineLevel="0" collapsed="false">
      <c r="A28" s="20" t="s">
        <v>126</v>
      </c>
      <c r="B28" s="5" t="s">
        <v>138</v>
      </c>
      <c r="C28" s="21" t="s">
        <v>160</v>
      </c>
      <c r="D28" s="22" t="n">
        <f aca="false">MROUND(MROUND(Inputs!$B$3*0.75,5)+15,5)</f>
        <v>240</v>
      </c>
      <c r="E28" s="20" t="s">
        <v>61</v>
      </c>
    </row>
    <row r="29" customFormat="false" ht="30" hidden="false" customHeight="true" outlineLevel="0" collapsed="false">
      <c r="A29" s="16" t="s">
        <v>62</v>
      </c>
      <c r="B29" s="17" t="s">
        <v>63</v>
      </c>
      <c r="C29" s="18" t="s">
        <v>64</v>
      </c>
      <c r="D29" s="19" t="s">
        <v>27</v>
      </c>
      <c r="E29" s="16" t="s">
        <v>65</v>
      </c>
    </row>
    <row r="30" customFormat="false" ht="30" hidden="false" customHeight="true" outlineLevel="0" collapsed="false">
      <c r="A30" s="20" t="s">
        <v>48</v>
      </c>
      <c r="B30" s="5" t="s">
        <v>143</v>
      </c>
      <c r="C30" s="21" t="s">
        <v>26</v>
      </c>
      <c r="D30" s="22" t="s">
        <v>27</v>
      </c>
      <c r="E30" s="20" t="s">
        <v>26</v>
      </c>
    </row>
    <row r="31" customFormat="false" ht="30" hidden="false" customHeight="true" outlineLevel="0" collapsed="false"/>
  </sheetData>
  <autoFilter ref="A4:E31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161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162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</v>
      </c>
    </row>
    <row r="6" customFormat="false" ht="30" hidden="false" customHeight="true" outlineLevel="0" collapsed="false">
      <c r="A6" s="16" t="s">
        <v>81</v>
      </c>
      <c r="B6" s="17" t="s">
        <v>19</v>
      </c>
      <c r="C6" s="18" t="n">
        <v>0.8</v>
      </c>
      <c r="D6" s="19" t="n">
        <f aca="false">MROUND(Inputs!$B$3*C6,5)</f>
        <v>240</v>
      </c>
      <c r="E6" s="16" t="s">
        <v>163</v>
      </c>
    </row>
    <row r="7" customFormat="false" ht="30" hidden="false" customHeight="true" outlineLevel="0" collapsed="false">
      <c r="A7" s="20" t="s">
        <v>82</v>
      </c>
      <c r="B7" s="5" t="s">
        <v>152</v>
      </c>
      <c r="C7" s="21" t="n">
        <v>0.82</v>
      </c>
      <c r="D7" s="22" t="n">
        <f aca="false">MROUND(Inputs!$B$3*C7,5)</f>
        <v>245</v>
      </c>
      <c r="E7" s="20" t="s">
        <v>164</v>
      </c>
    </row>
    <row r="8" customFormat="false" ht="30" hidden="false" customHeight="true" outlineLevel="0" collapsed="false">
      <c r="A8" s="16" t="s">
        <v>30</v>
      </c>
      <c r="B8" s="17" t="s">
        <v>165</v>
      </c>
      <c r="C8" s="18" t="s">
        <v>26</v>
      </c>
      <c r="D8" s="19" t="s">
        <v>27</v>
      </c>
      <c r="E8" s="16" t="s">
        <v>26</v>
      </c>
    </row>
    <row r="10" customFormat="false" ht="30" hidden="false" customHeight="true" outlineLevel="0" collapsed="false">
      <c r="A10" s="15" t="s">
        <v>34</v>
      </c>
    </row>
    <row r="11" customFormat="false" ht="30" hidden="false" customHeight="true" outlineLevel="0" collapsed="false">
      <c r="A11" s="20" t="s">
        <v>87</v>
      </c>
      <c r="B11" s="5" t="s">
        <v>166</v>
      </c>
      <c r="C11" s="21" t="n">
        <v>0.85</v>
      </c>
      <c r="D11" s="22" t="n">
        <f aca="false">MROUND(Inputs!$B$5*C11,5)</f>
        <v>175</v>
      </c>
      <c r="E11" s="20" t="s">
        <v>84</v>
      </c>
    </row>
    <row r="12" customFormat="false" ht="30" hidden="false" customHeight="true" outlineLevel="0" collapsed="false">
      <c r="A12" s="16" t="s">
        <v>37</v>
      </c>
      <c r="B12" s="17" t="s">
        <v>167</v>
      </c>
      <c r="C12" s="18" t="s">
        <v>26</v>
      </c>
      <c r="D12" s="19" t="s">
        <v>27</v>
      </c>
      <c r="E12" s="16" t="s">
        <v>168</v>
      </c>
    </row>
    <row r="13" customFormat="false" ht="30" hidden="false" customHeight="true" outlineLevel="0" collapsed="false">
      <c r="A13" s="20" t="s">
        <v>41</v>
      </c>
      <c r="B13" s="5" t="s">
        <v>169</v>
      </c>
      <c r="C13" s="21" t="s">
        <v>26</v>
      </c>
      <c r="D13" s="22" t="s">
        <v>27</v>
      </c>
      <c r="E13" s="20" t="s">
        <v>26</v>
      </c>
    </row>
    <row r="15" customFormat="false" ht="30" hidden="false" customHeight="true" outlineLevel="0" collapsed="false">
      <c r="A15" s="15" t="s">
        <v>42</v>
      </c>
    </row>
    <row r="16" customFormat="false" ht="30" hidden="false" customHeight="true" outlineLevel="0" collapsed="false">
      <c r="A16" s="16" t="s">
        <v>43</v>
      </c>
      <c r="B16" s="17" t="s">
        <v>152</v>
      </c>
      <c r="C16" s="18" t="n">
        <v>0.82</v>
      </c>
      <c r="D16" s="19" t="n">
        <f aca="false">MROUND(Inputs!$B$4*C16,5)</f>
        <v>305</v>
      </c>
      <c r="E16" s="16" t="s">
        <v>23</v>
      </c>
    </row>
    <row r="17" customFormat="false" ht="30" hidden="false" customHeight="true" outlineLevel="0" collapsed="false">
      <c r="A17" s="16" t="s">
        <v>45</v>
      </c>
      <c r="B17" s="17" t="s">
        <v>46</v>
      </c>
      <c r="C17" s="18" t="n">
        <v>0.666666666666667</v>
      </c>
      <c r="D17" s="19" t="n">
        <f aca="false">MROUND((Inputs!$B$4/0.9*0.6+55),5)</f>
        <v>300</v>
      </c>
      <c r="E17" s="16" t="s">
        <v>47</v>
      </c>
    </row>
    <row r="18" customFormat="false" ht="30" hidden="false" customHeight="true" outlineLevel="0" collapsed="false">
      <c r="A18" s="20" t="s">
        <v>48</v>
      </c>
      <c r="B18" s="5" t="s">
        <v>143</v>
      </c>
      <c r="C18" s="21" t="s">
        <v>26</v>
      </c>
      <c r="D18" s="22" t="s">
        <v>27</v>
      </c>
      <c r="E18" s="20" t="s">
        <v>26</v>
      </c>
    </row>
    <row r="20" customFormat="false" ht="30" hidden="false" customHeight="true" outlineLevel="0" collapsed="false">
      <c r="A20" s="15" t="s">
        <v>52</v>
      </c>
    </row>
    <row r="21" customFormat="false" ht="30" hidden="false" customHeight="true" outlineLevel="0" collapsed="false">
      <c r="A21" s="20" t="s">
        <v>170</v>
      </c>
      <c r="B21" s="5" t="s">
        <v>108</v>
      </c>
      <c r="C21" s="21" t="n">
        <v>0.65</v>
      </c>
      <c r="D21" s="22" t="n">
        <f aca="false">MROUND(Inputs!$B$5*C21,5)</f>
        <v>135</v>
      </c>
      <c r="E21" s="20" t="s">
        <v>26</v>
      </c>
    </row>
    <row r="22" customFormat="false" ht="30" hidden="false" customHeight="true" outlineLevel="0" collapsed="false">
      <c r="A22" s="20" t="s">
        <v>55</v>
      </c>
      <c r="B22" s="5" t="s">
        <v>69</v>
      </c>
      <c r="C22" s="21" t="s">
        <v>26</v>
      </c>
      <c r="D22" s="22" t="s">
        <v>27</v>
      </c>
      <c r="E22" s="20" t="s">
        <v>26</v>
      </c>
    </row>
    <row r="23" customFormat="false" ht="30" hidden="false" customHeight="true" outlineLevel="0" collapsed="false"/>
    <row r="24" customFormat="false" ht="15" hidden="false" customHeight="false" outlineLevel="0" collapsed="false">
      <c r="A24" s="15" t="s">
        <v>58</v>
      </c>
    </row>
    <row r="25" customFormat="false" ht="30" hidden="false" customHeight="true" outlineLevel="0" collapsed="false">
      <c r="A25" s="16" t="s">
        <v>126</v>
      </c>
      <c r="B25" s="17" t="s">
        <v>108</v>
      </c>
      <c r="C25" s="18" t="n">
        <v>0.6</v>
      </c>
      <c r="D25" s="19" t="n">
        <f aca="false">MROUND(Inputs!$B$3*C25,5)</f>
        <v>180</v>
      </c>
      <c r="E25" s="16" t="s">
        <v>26</v>
      </c>
    </row>
    <row r="26" customFormat="false" ht="30" hidden="false" customHeight="true" outlineLevel="0" collapsed="false">
      <c r="A26" s="20" t="s">
        <v>62</v>
      </c>
      <c r="B26" s="5" t="s">
        <v>63</v>
      </c>
      <c r="C26" s="21" t="s">
        <v>64</v>
      </c>
      <c r="D26" s="22" t="s">
        <v>27</v>
      </c>
      <c r="E26" s="20" t="s">
        <v>65</v>
      </c>
    </row>
    <row r="27" customFormat="false" ht="30" hidden="false" customHeight="true" outlineLevel="0" collapsed="false">
      <c r="A27" s="16" t="s">
        <v>48</v>
      </c>
      <c r="B27" s="17" t="s">
        <v>143</v>
      </c>
      <c r="C27" s="18" t="s">
        <v>26</v>
      </c>
      <c r="D27" s="19" t="s">
        <v>27</v>
      </c>
      <c r="E27" s="16" t="s">
        <v>26</v>
      </c>
    </row>
    <row r="28" customFormat="false" ht="30" hidden="false" customHeight="true" outlineLevel="0" collapsed="false"/>
  </sheetData>
  <autoFilter ref="A4:E2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6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2" t="s">
        <v>171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162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12</v>
      </c>
      <c r="B4" s="14" t="s">
        <v>13</v>
      </c>
      <c r="C4" s="14" t="s">
        <v>14</v>
      </c>
      <c r="D4" s="14" t="s">
        <v>15</v>
      </c>
      <c r="E4" s="14" t="s">
        <v>16</v>
      </c>
    </row>
    <row r="5" customFormat="false" ht="30" hidden="false" customHeight="true" outlineLevel="0" collapsed="false">
      <c r="A5" s="15" t="s">
        <v>172</v>
      </c>
    </row>
    <row r="6" customFormat="false" ht="30" hidden="false" customHeight="true" outlineLevel="0" collapsed="false">
      <c r="A6" s="16" t="s">
        <v>173</v>
      </c>
      <c r="B6" s="17" t="s">
        <v>108</v>
      </c>
      <c r="C6" s="18" t="n">
        <v>0.5</v>
      </c>
      <c r="D6" s="19" t="n">
        <f aca="false">MROUND(Inputs!$B$3*C6,5)</f>
        <v>150</v>
      </c>
      <c r="E6" s="16" t="s">
        <v>174</v>
      </c>
    </row>
    <row r="7" customFormat="false" ht="15" hidden="false" customHeight="false" outlineLevel="0" collapsed="false">
      <c r="A7" s="16" t="s">
        <v>175</v>
      </c>
      <c r="B7" s="17" t="s">
        <v>108</v>
      </c>
      <c r="C7" s="18" t="n">
        <v>0.5</v>
      </c>
      <c r="D7" s="19" t="n">
        <f aca="false">MROUND(Inputs!$B$5*C7,5)</f>
        <v>105</v>
      </c>
      <c r="E7" s="16" t="s">
        <v>174</v>
      </c>
    </row>
    <row r="8" customFormat="false" ht="30" hidden="false" customHeight="true" outlineLevel="0" collapsed="false"/>
    <row r="9" customFormat="false" ht="30" hidden="false" customHeight="true" outlineLevel="0" collapsed="false">
      <c r="A9" s="15" t="s">
        <v>176</v>
      </c>
    </row>
    <row r="10" customFormat="false" ht="15" hidden="false" customHeight="false" outlineLevel="0" collapsed="false">
      <c r="A10" s="20" t="s">
        <v>177</v>
      </c>
      <c r="B10" s="5" t="s">
        <v>178</v>
      </c>
      <c r="C10" s="21" t="s">
        <v>179</v>
      </c>
      <c r="D10" s="22" t="s">
        <v>180</v>
      </c>
      <c r="E10" s="20" t="s">
        <v>181</v>
      </c>
    </row>
    <row r="11" customFormat="false" ht="30" hidden="false" customHeight="true" outlineLevel="0" collapsed="false"/>
    <row r="12" customFormat="false" ht="30" hidden="false" customHeight="true" outlineLevel="0" collapsed="false">
      <c r="A12" s="15" t="s">
        <v>182</v>
      </c>
    </row>
    <row r="13" customFormat="false" ht="15" hidden="false" customHeight="false" outlineLevel="0" collapsed="false">
      <c r="A13" s="16" t="s">
        <v>183</v>
      </c>
      <c r="B13" s="17" t="s">
        <v>184</v>
      </c>
      <c r="C13" s="18" t="s">
        <v>185</v>
      </c>
      <c r="D13" s="19" t="s">
        <v>185</v>
      </c>
      <c r="E13" s="16" t="s">
        <v>186</v>
      </c>
    </row>
    <row r="14" customFormat="false" ht="30" hidden="false" customHeight="true" outlineLevel="0" collapsed="false"/>
    <row r="15" customFormat="false" ht="30" hidden="false" customHeight="true" outlineLevel="0" collapsed="false">
      <c r="A15" s="15" t="s">
        <v>187</v>
      </c>
    </row>
    <row r="16" customFormat="false" ht="15" hidden="false" customHeight="false" outlineLevel="0" collapsed="false">
      <c r="A16" s="20" t="s">
        <v>188</v>
      </c>
      <c r="B16" s="5" t="s">
        <v>178</v>
      </c>
      <c r="C16" s="21" t="s">
        <v>179</v>
      </c>
      <c r="D16" s="22" t="s">
        <v>180</v>
      </c>
      <c r="E16" s="20" t="s">
        <v>189</v>
      </c>
    </row>
    <row r="17" customFormat="false" ht="30" hidden="false" customHeight="true" outlineLevel="0" collapsed="false"/>
    <row r="18" customFormat="false" ht="30" hidden="false" customHeight="true" outlineLevel="0" collapsed="false">
      <c r="A18" s="15" t="s">
        <v>190</v>
      </c>
    </row>
    <row r="19" customFormat="false" ht="15" hidden="false" customHeight="false" outlineLevel="0" collapsed="false">
      <c r="A19" s="16" t="s">
        <v>183</v>
      </c>
      <c r="B19" s="17" t="s">
        <v>184</v>
      </c>
      <c r="C19" s="18" t="s">
        <v>185</v>
      </c>
      <c r="D19" s="19" t="s">
        <v>185</v>
      </c>
      <c r="E19" s="16" t="s">
        <v>186</v>
      </c>
    </row>
    <row r="20" customFormat="false" ht="30" hidden="false" customHeight="true" outlineLevel="0" collapsed="false"/>
    <row r="21" customFormat="false" ht="15" hidden="false" customHeight="false" outlineLevel="0" collapsed="false">
      <c r="A21" s="15" t="s">
        <v>191</v>
      </c>
    </row>
    <row r="22" customFormat="false" ht="15" hidden="false" customHeight="false" outlineLevel="0" collapsed="false">
      <c r="A22" s="17" t="s">
        <v>192</v>
      </c>
      <c r="B22" s="17" t="s">
        <v>184</v>
      </c>
      <c r="C22" s="18" t="s">
        <v>185</v>
      </c>
      <c r="D22" s="19" t="s">
        <v>185</v>
      </c>
      <c r="E22" s="17" t="s">
        <v>193</v>
      </c>
    </row>
    <row r="23" customFormat="false" ht="30" hidden="false" customHeight="true" outlineLevel="0" collapsed="false"/>
    <row r="24" customFormat="false" ht="15" hidden="false" customHeight="false" outlineLevel="0" collapsed="false">
      <c r="A24" s="15" t="s">
        <v>194</v>
      </c>
    </row>
    <row r="25" customFormat="false" ht="15" hidden="false" customHeight="false" outlineLevel="0" collapsed="false">
      <c r="A25" s="17" t="s">
        <v>192</v>
      </c>
      <c r="B25" s="17" t="s">
        <v>184</v>
      </c>
      <c r="C25" s="18" t="s">
        <v>185</v>
      </c>
      <c r="D25" s="19" t="s">
        <v>185</v>
      </c>
      <c r="E25" s="17" t="s">
        <v>193</v>
      </c>
    </row>
    <row r="26" customFormat="false" ht="30" hidden="false" customHeight="true" outlineLevel="0" collapsed="false"/>
    <row r="27" customFormat="false" ht="15" hidden="false" customHeight="false" outlineLevel="0" collapsed="false">
      <c r="A27" s="15" t="s">
        <v>195</v>
      </c>
    </row>
    <row r="28" customFormat="false" ht="15" hidden="false" customHeight="false" outlineLevel="0" collapsed="false">
      <c r="A28" s="17" t="s">
        <v>196</v>
      </c>
      <c r="B28" s="17" t="s">
        <v>178</v>
      </c>
      <c r="C28" s="18" t="s">
        <v>179</v>
      </c>
      <c r="D28" s="19" t="s">
        <v>180</v>
      </c>
      <c r="E28" s="17" t="s">
        <v>197</v>
      </c>
    </row>
  </sheetData>
  <autoFilter ref="A4:E1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2026-10-13T00:50:20Z</dcterms:created>
  <dc:creator>openpyxl</dc:creator>
  <dc:description/>
  <dc:language>en-US</dc:language>
  <cp:lastModifiedBy/>
  <dcterms:modified xsi:type="dcterms:W3CDTF">2026-10-13T01:38:13Z</dcterms:modified>
  <cp:revision>0</cp:revision>
  <dc:subject>13-week strength program with bent-over rows, 1.5-rep deadlifts, squat singles, and additional main bench sets</dc:subject>
  <dc:title>Chiko Lifts Program 2.0 — Reference Format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