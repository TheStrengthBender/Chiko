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 &amp; Dashboard" sheetId="1" state="visible" r:id="rId1"/>
    <sheet xmlns:r="http://schemas.openxmlformats.org/officeDocument/2006/relationships" name="Master Program (All Weeks)" sheetId="2" state="visible" r:id="rId2"/>
    <sheet xmlns:r="http://schemas.openxmlformats.org/officeDocument/2006/relationships" name="Block 1 (W1-5)" sheetId="3" state="visible" r:id="rId3"/>
    <sheet xmlns:r="http://schemas.openxmlformats.org/officeDocument/2006/relationships" name="Block 2 (W6-10)" sheetId="4" state="visible" r:id="rId4"/>
    <sheet xmlns:r="http://schemas.openxmlformats.org/officeDocument/2006/relationships" name="Block 3 (W11-13)" sheetId="5" state="visible" r:id="rId5"/>
    <sheet xmlns:r="http://schemas.openxmlformats.org/officeDocument/2006/relationships" name="Week 13 PR Testing Plan" sheetId="6" state="visible" r:id="rId6"/>
    <sheet xmlns:r="http://schemas.openxmlformats.org/officeDocument/2006/relationships" name="Coaching Guide (65 Sessions)" sheetId="7" state="visible" r:id="rId7"/>
    <sheet xmlns:r="http://schemas.openxmlformats.org/officeDocument/2006/relationships" name="Plate &amp; Warm-up Reference" sheetId="8" state="visible" r:id="rId8"/>
  </sheets>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Segoe UI"/>
      <b val="1"/>
      <color rgb="00FFFFFF"/>
      <sz val="16"/>
    </font>
    <font>
      <name val="Segoe UI"/>
      <i val="1"/>
      <color rgb="00CBD5E1"/>
      <sz val="10"/>
    </font>
    <font>
      <name val="Segoe UI"/>
      <b val="1"/>
      <color rgb="001E293B"/>
      <sz val="12"/>
    </font>
    <font>
      <name val="Segoe UI"/>
      <b val="1"/>
      <color rgb="00FFFFFF"/>
      <sz val="10"/>
    </font>
    <font>
      <name val="Segoe UI"/>
      <b val="1"/>
      <color rgb="000F172A"/>
      <sz val="10"/>
    </font>
    <font>
      <name val="Segoe UI"/>
      <b val="1"/>
      <color rgb="000284C7"/>
      <sz val="11"/>
    </font>
    <font>
      <name val="Segoe UI"/>
      <color rgb="000F172A"/>
      <sz val="10"/>
    </font>
    <font>
      <name val="Segoe UI"/>
      <b val="1"/>
      <color rgb="0016A34A"/>
      <sz val="11"/>
    </font>
    <font>
      <name val="Segoe UI"/>
      <color rgb="0064748B"/>
      <sz val="9"/>
    </font>
    <font>
      <name val="Segoe UI"/>
      <b val="1"/>
      <color rgb="001E293B"/>
      <sz val="11"/>
    </font>
    <font>
      <name val="Segoe UI"/>
      <b val="1"/>
      <color rgb="000369A1"/>
      <sz val="9"/>
    </font>
    <font>
      <name val="Segoe UI"/>
      <b val="1"/>
      <color rgb="000284C7"/>
      <sz val="9"/>
    </font>
    <font>
      <name val="Segoe UI"/>
      <b val="1"/>
      <color rgb="0015803D"/>
      <sz val="9"/>
    </font>
    <font>
      <name val="Segoe UI"/>
      <b val="1"/>
      <color rgb="00B45309"/>
      <sz val="9"/>
    </font>
    <font>
      <name val="Segoe UI"/>
      <b val="1"/>
      <color rgb="00C2410C"/>
      <sz val="9"/>
    </font>
    <font>
      <name val="Segoe UI"/>
      <b val="1"/>
      <color rgb="00B91C1C"/>
      <sz val="9"/>
    </font>
    <font>
      <name val="Segoe UI"/>
      <b val="1"/>
      <color rgb="006D28D9"/>
      <sz val="9"/>
    </font>
    <font>
      <name val="Segoe UI"/>
      <b val="1"/>
      <color rgb="00854D0E"/>
      <sz val="9"/>
    </font>
    <font>
      <name val="Segoe UI"/>
      <i val="1"/>
      <color rgb="00475569"/>
      <sz val="9"/>
    </font>
    <font>
      <name val="Segoe UI"/>
      <i val="1"/>
      <color rgb="0094A3B8"/>
      <sz val="10"/>
    </font>
    <font>
      <name val="Segoe UI"/>
      <b val="1"/>
      <color rgb="000369A1"/>
      <sz val="13"/>
    </font>
    <font>
      <name val="Segoe UI"/>
      <i val="1"/>
      <color rgb="001E3A8A"/>
      <sz val="9"/>
    </font>
    <font>
      <name val="Segoe UI"/>
      <b val="1"/>
      <color rgb="00FFFFFF"/>
      <sz val="9"/>
    </font>
    <font>
      <name val="Segoe UI"/>
      <b val="1"/>
      <color rgb="00B45309"/>
      <sz val="8"/>
    </font>
    <font>
      <name val="Segoe UI"/>
      <color rgb="0064748B"/>
      <sz val="8"/>
    </font>
    <font>
      <name val="Segoe UI"/>
      <b val="1"/>
      <color rgb="000284C7"/>
      <sz val="13"/>
    </font>
    <font>
      <name val="Segoe UI"/>
      <b val="1"/>
      <color rgb="0015803D"/>
      <sz val="13"/>
    </font>
    <font>
      <name val="Segoe UI"/>
      <b val="1"/>
      <color rgb="00B45309"/>
      <sz val="13"/>
    </font>
    <font>
      <name val="Segoe UI"/>
      <b val="1"/>
      <color rgb="00C2410C"/>
      <sz val="13"/>
    </font>
    <font>
      <name val="Segoe UI"/>
      <b val="1"/>
      <color rgb="00B91C1C"/>
      <sz val="13"/>
    </font>
    <font>
      <name val="Segoe UI"/>
      <b val="1"/>
      <color rgb="006D28D9"/>
      <sz val="13"/>
    </font>
    <font>
      <name val="Segoe UI"/>
      <b val="1"/>
      <color rgb="00854D0E"/>
      <sz val="13"/>
    </font>
    <font>
      <name val="Segoe UI"/>
      <b val="1"/>
      <color rgb="00DC2626"/>
      <sz val="12"/>
    </font>
  </fonts>
  <fills count="19">
    <fill>
      <patternFill/>
    </fill>
    <fill>
      <patternFill patternType="gray125"/>
    </fill>
    <fill>
      <patternFill patternType="solid">
        <fgColor rgb="001E293B"/>
        <bgColor rgb="001E293B"/>
      </patternFill>
    </fill>
    <fill>
      <patternFill patternType="solid">
        <fgColor rgb="00334155"/>
        <bgColor rgb="00334155"/>
      </patternFill>
    </fill>
    <fill>
      <patternFill patternType="solid">
        <fgColor rgb="00F0F9FF"/>
        <bgColor rgb="00F0F9FF"/>
      </patternFill>
    </fill>
    <fill>
      <patternFill patternType="solid">
        <fgColor rgb="00F0FDF4"/>
        <bgColor rgb="00F0FDF4"/>
      </patternFill>
    </fill>
    <fill>
      <patternFill patternType="solid">
        <fgColor rgb="00FEF3C7"/>
        <bgColor rgb="00FEF3C7"/>
      </patternFill>
    </fill>
    <fill>
      <patternFill patternType="solid">
        <fgColor rgb="00F1F5F9"/>
        <bgColor rgb="00F1F5F9"/>
      </patternFill>
    </fill>
    <fill>
      <patternFill patternType="solid">
        <fgColor rgb="00E0F2FE"/>
        <bgColor rgb="00E0F2FE"/>
      </patternFill>
    </fill>
    <fill>
      <patternFill patternType="solid">
        <fgColor rgb="00BAE6FD"/>
        <bgColor rgb="00BAE6FD"/>
      </patternFill>
    </fill>
    <fill>
      <patternFill patternType="solid">
        <fgColor rgb="00DCFCE7"/>
        <bgColor rgb="00DCFCE7"/>
      </patternFill>
    </fill>
    <fill>
      <patternFill patternType="solid">
        <fgColor rgb="00FFEDD5"/>
        <bgColor rgb="00FFEDD5"/>
      </patternFill>
    </fill>
    <fill>
      <patternFill patternType="solid">
        <fgColor rgb="00FEE2E2"/>
        <bgColor rgb="00FEE2E2"/>
      </patternFill>
    </fill>
    <fill>
      <patternFill patternType="solid">
        <fgColor rgb="00EDE9FE"/>
        <bgColor rgb="00EDE9FE"/>
      </patternFill>
    </fill>
    <fill>
      <patternFill patternType="solid">
        <fgColor rgb="00FEF08A"/>
        <bgColor rgb="00FEF08A"/>
      </patternFill>
    </fill>
    <fill>
      <patternFill patternType="solid">
        <fgColor rgb="00F8FAFC"/>
        <bgColor rgb="00F8FAFC"/>
      </patternFill>
    </fill>
    <fill>
      <patternFill patternType="solid">
        <fgColor rgb="00E2E8F0"/>
        <bgColor rgb="00E2E8F0"/>
      </patternFill>
    </fill>
    <fill>
      <patternFill patternType="solid">
        <fgColor rgb="00EFF6FF"/>
        <bgColor rgb="00EFF6FF"/>
      </patternFill>
    </fill>
    <fill>
      <patternFill patternType="solid">
        <fgColor rgb="00FEF2F2"/>
        <bgColor rgb="00FEF2F2"/>
      </patternFill>
    </fill>
  </fills>
  <borders count="4">
    <border>
      <left/>
      <right/>
      <top/>
      <bottom/>
      <diagonal/>
    </border>
    <border>
      <left style="thin">
        <color rgb="00475569"/>
      </left>
      <right style="thin">
        <color rgb="00475569"/>
      </right>
      <top style="thin">
        <color rgb="00475569"/>
      </top>
      <bottom style="medium">
        <color rgb="001E293B"/>
      </bottom>
    </border>
    <border>
      <left style="thin">
        <color rgb="00CBD5E1"/>
      </left>
      <right style="thin">
        <color rgb="00CBD5E1"/>
      </right>
      <top style="thin">
        <color rgb="00CBD5E1"/>
      </top>
      <bottom style="thin">
        <color rgb="00CBD5E1"/>
      </bottom>
    </border>
    <border>
      <left style="thin">
        <color rgb="00E2E8F0"/>
      </left>
      <right style="thin">
        <color rgb="00E2E8F0"/>
      </right>
      <top style="thin">
        <color rgb="00E2E8F0"/>
      </top>
      <bottom style="thin">
        <color rgb="00E2E8F0"/>
      </bottom>
    </border>
  </borders>
  <cellStyleXfs count="1">
    <xf numFmtId="0" fontId="0" fillId="0" borderId="0"/>
  </cellStyleXfs>
  <cellXfs count="70">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0" pivotButton="0" quotePrefix="0" xfId="0"/>
    <xf numFmtId="0" fontId="4" fillId="3" borderId="1" applyAlignment="1" pivotButton="0" quotePrefix="0" xfId="0">
      <alignment horizontal="center" vertical="center" wrapText="1"/>
    </xf>
    <xf numFmtId="0" fontId="10" fillId="6" borderId="2" pivotButton="0" quotePrefix="0" xfId="0"/>
    <xf numFmtId="0" fontId="5" fillId="0" borderId="2" applyAlignment="1" pivotButton="0" quotePrefix="0" xfId="0">
      <alignment horizontal="left" vertical="center" wrapText="1"/>
    </xf>
    <xf numFmtId="3" fontId="6" fillId="4" borderId="2" applyAlignment="1" pivotButton="0" quotePrefix="0" xfId="0">
      <alignment horizontal="center" vertical="center" wrapText="1"/>
    </xf>
    <xf numFmtId="0" fontId="7" fillId="0" borderId="2" applyAlignment="1" pivotButton="0" quotePrefix="0" xfId="0">
      <alignment horizontal="center" vertical="center" wrapText="1"/>
    </xf>
    <xf numFmtId="3" fontId="8" fillId="5" borderId="2" applyAlignment="1" pivotButton="0" quotePrefix="0" xfId="0">
      <alignment horizontal="center" vertical="center" wrapText="1"/>
    </xf>
    <xf numFmtId="0" fontId="9" fillId="0" borderId="2" applyAlignment="1" pivotButton="0" quotePrefix="0" xfId="0">
      <alignment horizontal="left" vertical="center" wrapText="1"/>
    </xf>
    <xf numFmtId="0" fontId="7" fillId="7" borderId="2" applyAlignment="1" pivotButton="0" quotePrefix="0" xfId="0">
      <alignment horizontal="left" vertical="center" wrapText="1"/>
    </xf>
    <xf numFmtId="0" fontId="5" fillId="0" borderId="2" applyAlignment="1" pivotButton="0" quotePrefix="0" xfId="0">
      <alignment horizontal="center" vertical="center" wrapText="1"/>
    </xf>
    <xf numFmtId="0" fontId="11" fillId="8" borderId="2" applyAlignment="1" pivotButton="0" quotePrefix="0" xfId="0">
      <alignment horizontal="center" vertical="center" wrapText="1"/>
    </xf>
    <xf numFmtId="0" fontId="7" fillId="0" borderId="2" applyAlignment="1" pivotButton="0" quotePrefix="0" xfId="0">
      <alignment horizontal="left" vertical="center" wrapText="1"/>
    </xf>
    <xf numFmtId="0" fontId="9" fillId="0" borderId="2" applyAlignment="1" pivotButton="0" quotePrefix="0" xfId="0">
      <alignment horizontal="center" vertical="center" wrapText="1"/>
    </xf>
    <xf numFmtId="0" fontId="12"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14" fillId="6" borderId="2" applyAlignment="1" pivotButton="0" quotePrefix="0" xfId="0">
      <alignment horizontal="center" vertical="center" wrapText="1"/>
    </xf>
    <xf numFmtId="0" fontId="15" fillId="11" borderId="2" applyAlignment="1" pivotButton="0" quotePrefix="0" xfId="0">
      <alignment horizontal="center" vertical="center" wrapText="1"/>
    </xf>
    <xf numFmtId="0" fontId="16" fillId="12" borderId="2" applyAlignment="1" pivotButton="0" quotePrefix="0" xfId="0">
      <alignment horizontal="center" vertical="center" wrapText="1"/>
    </xf>
    <xf numFmtId="0" fontId="17" fillId="13" borderId="2" applyAlignment="1" pivotButton="0" quotePrefix="0" xfId="0">
      <alignment horizontal="center" vertical="center" wrapText="1"/>
    </xf>
    <xf numFmtId="0" fontId="18" fillId="14" borderId="2" applyAlignment="1" pivotButton="0" quotePrefix="0" xfId="0">
      <alignment horizontal="center" vertical="center" wrapText="1"/>
    </xf>
    <xf numFmtId="0" fontId="5" fillId="0" borderId="2" pivotButton="0" quotePrefix="0" xfId="0"/>
    <xf numFmtId="3" fontId="7" fillId="0" borderId="2" applyAlignment="1" pivotButton="0" quotePrefix="0" xfId="0">
      <alignment horizontal="center" vertical="center" wrapText="1"/>
    </xf>
    <xf numFmtId="0" fontId="19" fillId="0" borderId="2" applyAlignment="1" pivotButton="0" quotePrefix="0" xfId="0">
      <alignment horizontal="left" vertical="center" wrapText="1"/>
    </xf>
    <xf numFmtId="0" fontId="20" fillId="2" borderId="0" applyAlignment="1" pivotButton="0" quotePrefix="0" xfId="0">
      <alignment horizontal="center" vertical="center" wrapText="1"/>
    </xf>
    <xf numFmtId="0" fontId="5" fillId="0" borderId="3" applyAlignment="1" pivotButton="0" quotePrefix="0" xfId="0">
      <alignment horizontal="center" vertical="center" wrapText="1"/>
    </xf>
    <xf numFmtId="0" fontId="11" fillId="8" borderId="3" applyAlignment="1" pivotButton="0" quotePrefix="0" xfId="0">
      <alignment horizontal="center" vertical="center" wrapText="1"/>
    </xf>
    <xf numFmtId="0" fontId="7" fillId="0" borderId="3" applyAlignment="1" pivotButton="0" quotePrefix="0" xfId="0">
      <alignment horizontal="center" vertical="center" wrapText="1"/>
    </xf>
    <xf numFmtId="0" fontId="7" fillId="0" borderId="3" applyAlignment="1" pivotButton="0" quotePrefix="0" xfId="0">
      <alignment horizontal="left" vertical="center" wrapText="1"/>
    </xf>
    <xf numFmtId="0" fontId="9" fillId="0" borderId="3" applyAlignment="1" pivotButton="0" quotePrefix="0" xfId="0">
      <alignment horizontal="center" vertical="center" wrapText="1"/>
    </xf>
    <xf numFmtId="0" fontId="5" fillId="6" borderId="3" applyAlignment="1" pivotButton="0" quotePrefix="0" xfId="0">
      <alignment horizontal="left" vertical="center" wrapText="1"/>
    </xf>
    <xf numFmtId="0" fontId="14" fillId="6" borderId="3" applyAlignment="1" pivotButton="0" quotePrefix="0" xfId="0">
      <alignment horizontal="center" vertical="center" wrapText="1"/>
    </xf>
    <xf numFmtId="9" fontId="5" fillId="0" borderId="3" applyAlignment="1" pivotButton="0" quotePrefix="0" xfId="0">
      <alignment horizontal="center" vertical="center" wrapText="1"/>
    </xf>
    <xf numFmtId="3" fontId="8" fillId="5" borderId="3" applyAlignment="1" pivotButton="0" quotePrefix="0" xfId="0">
      <alignment horizontal="center" vertical="center" wrapText="1"/>
    </xf>
    <xf numFmtId="0" fontId="9" fillId="0" borderId="3" applyAlignment="1" pivotButton="0" quotePrefix="0" xfId="0">
      <alignment horizontal="left" vertical="center" wrapText="1"/>
    </xf>
    <xf numFmtId="0" fontId="5" fillId="15" borderId="3" applyAlignment="1" pivotButton="0" quotePrefix="0" xfId="0">
      <alignment horizontal="center" vertical="center" wrapText="1"/>
    </xf>
    <xf numFmtId="0" fontId="7" fillId="15" borderId="3" applyAlignment="1" pivotButton="0" quotePrefix="0" xfId="0">
      <alignment horizontal="center" vertical="center" wrapText="1"/>
    </xf>
    <xf numFmtId="0" fontId="7" fillId="15" borderId="3" applyAlignment="1" pivotButton="0" quotePrefix="0" xfId="0">
      <alignment horizontal="left" vertical="center" wrapText="1"/>
    </xf>
    <xf numFmtId="0" fontId="9" fillId="15" borderId="3" applyAlignment="1" pivotButton="0" quotePrefix="0" xfId="0">
      <alignment horizontal="center" vertical="center" wrapText="1"/>
    </xf>
    <xf numFmtId="9" fontId="7" fillId="15" borderId="3" applyAlignment="1" pivotButton="0" quotePrefix="0" xfId="0">
      <alignment horizontal="center" vertical="center" wrapText="1"/>
    </xf>
    <xf numFmtId="0" fontId="19" fillId="0" borderId="3" applyAlignment="1" pivotButton="0" quotePrefix="0" xfId="0">
      <alignment horizontal="left" vertical="center" wrapText="1"/>
    </xf>
    <xf numFmtId="9" fontId="7" fillId="0" borderId="3" applyAlignment="1" pivotButton="0" quotePrefix="0" xfId="0">
      <alignment horizontal="center" vertical="center" wrapText="1"/>
    </xf>
    <xf numFmtId="0" fontId="12" fillId="9" borderId="3" applyAlignment="1" pivotButton="0" quotePrefix="0" xfId="0">
      <alignment horizontal="center" vertical="center" wrapText="1"/>
    </xf>
    <xf numFmtId="0" fontId="13"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6" fillId="12" borderId="3" applyAlignment="1" pivotButton="0" quotePrefix="0" xfId="0">
      <alignment horizontal="center" vertical="center" wrapText="1"/>
    </xf>
    <xf numFmtId="0" fontId="17" fillId="13" borderId="3" applyAlignment="1" pivotButton="0" quotePrefix="0" xfId="0">
      <alignment horizontal="center" vertical="center" wrapText="1"/>
    </xf>
    <xf numFmtId="0" fontId="18" fillId="14" borderId="3" applyAlignment="1" pivotButton="0" quotePrefix="0" xfId="0">
      <alignment horizontal="center" vertical="center" wrapText="1"/>
    </xf>
    <xf numFmtId="0" fontId="21" fillId="8" borderId="2" applyAlignment="1" pivotButton="0" quotePrefix="0" xfId="0">
      <alignment horizontal="left" vertical="center" wrapText="1"/>
    </xf>
    <xf numFmtId="0" fontId="10" fillId="16" borderId="2" applyAlignment="1" pivotButton="0" quotePrefix="0" xfId="0">
      <alignment horizontal="left" vertical="center" wrapText="1"/>
    </xf>
    <xf numFmtId="0" fontId="22" fillId="17" borderId="2" applyAlignment="1" pivotButton="0" quotePrefix="0" xfId="0">
      <alignment horizontal="left" vertical="center" wrapText="1"/>
    </xf>
    <xf numFmtId="0" fontId="23" fillId="3" borderId="1" applyAlignment="1" pivotButton="0" quotePrefix="0" xfId="0">
      <alignment horizontal="center" vertical="center" wrapText="1"/>
    </xf>
    <xf numFmtId="0" fontId="24" fillId="6" borderId="3" applyAlignment="1" pivotButton="0" quotePrefix="0" xfId="0">
      <alignment horizontal="center" vertical="center" wrapText="1"/>
    </xf>
    <xf numFmtId="0" fontId="25" fillId="0" borderId="3" applyAlignment="1" pivotButton="0" quotePrefix="0" xfId="0">
      <alignment horizontal="center" vertical="center" wrapText="1"/>
    </xf>
    <xf numFmtId="0" fontId="26" fillId="9" borderId="2" applyAlignment="1" pivotButton="0" quotePrefix="0" xfId="0">
      <alignment horizontal="left" vertical="center" wrapText="1"/>
    </xf>
    <xf numFmtId="0" fontId="27" fillId="10" borderId="2" applyAlignment="1" pivotButton="0" quotePrefix="0" xfId="0">
      <alignment horizontal="left" vertical="center" wrapText="1"/>
    </xf>
    <xf numFmtId="0" fontId="28" fillId="6" borderId="2" applyAlignment="1" pivotButton="0" quotePrefix="0" xfId="0">
      <alignment horizontal="left" vertical="center" wrapText="1"/>
    </xf>
    <xf numFmtId="0" fontId="29" fillId="11" borderId="2" applyAlignment="1" pivotButton="0" quotePrefix="0" xfId="0">
      <alignment horizontal="left" vertical="center" wrapText="1"/>
    </xf>
    <xf numFmtId="0" fontId="30" fillId="12" borderId="2" applyAlignment="1" pivotButton="0" quotePrefix="0" xfId="0">
      <alignment horizontal="left" vertical="center" wrapText="1"/>
    </xf>
    <xf numFmtId="0" fontId="31" fillId="13" borderId="2" applyAlignment="1" pivotButton="0" quotePrefix="0" xfId="0">
      <alignment horizontal="left" vertical="center" wrapText="1"/>
    </xf>
    <xf numFmtId="0" fontId="32" fillId="14" borderId="2" applyAlignment="1" pivotButton="0" quotePrefix="0" xfId="0">
      <alignment horizontal="left" vertical="center" wrapText="1"/>
    </xf>
    <xf numFmtId="0" fontId="5" fillId="14" borderId="2" applyAlignment="1" pivotButton="0" quotePrefix="0" xfId="0">
      <alignment horizontal="left" vertical="center" wrapText="1"/>
    </xf>
    <xf numFmtId="0" fontId="33" fillId="0" borderId="2" applyAlignment="1" pivotButton="0" quotePrefix="0" xfId="0">
      <alignment horizontal="center" vertical="center" wrapText="1"/>
    </xf>
    <xf numFmtId="3" fontId="33" fillId="18" borderId="2" applyAlignment="1" pivotButton="0" quotePrefix="0" xfId="0">
      <alignment horizontal="center" vertical="center" wrapText="1"/>
    </xf>
    <xf numFmtId="0" fontId="5" fillId="0" borderId="3" applyAlignment="1" pivotButton="0" quotePrefix="0" xfId="0">
      <alignment horizontal="left" vertical="center" wrapText="1"/>
    </xf>
    <xf numFmtId="0" fontId="5" fillId="15" borderId="3" applyAlignment="1" pivotButton="0" quotePrefix="0" xfId="0">
      <alignment horizontal="left" vertical="center" wrapText="1"/>
    </xf>
    <xf numFmtId="0" fontId="7" fillId="14" borderId="2" applyAlignment="1" pivotButton="0" quotePrefix="0" xfId="0">
      <alignment horizontal="center" vertical="center" wrapText="1"/>
    </xf>
    <xf numFmtId="0" fontId="5" fillId="18"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showGridLines="1" workbookViewId="0">
      <selection activeCell="A1" sqref="A1"/>
    </sheetView>
  </sheetViews>
  <sheetFormatPr baseColWidth="8" defaultRowHeight="15"/>
  <cols>
    <col width="4" customWidth="1" min="1" max="1"/>
    <col width="30" customWidth="1" min="2" max="2"/>
    <col width="25" customWidth="1" min="3" max="3"/>
    <col width="25" customWidth="1" min="4" max="4"/>
    <col width="27" customWidth="1" min="5" max="5"/>
    <col width="38" customWidth="1" min="6" max="6"/>
    <col width="26" customWidth="1" min="7" max="7"/>
    <col width="26" customWidth="1" min="8" max="8"/>
    <col width="27" customWidth="1" min="9" max="9"/>
  </cols>
  <sheetData>
    <row r="1"/>
    <row r="2" ht="32" customHeight="1">
      <c r="B2" s="1" t="inlineStr">
        <is>
          <t>CHIKO_LIFTS : THE 13-WEEK STRENGTHBENDER SYSTEM</t>
        </is>
      </c>
    </row>
    <row r="3" ht="20" customHeight="1">
      <c r="B3" s="2" t="inlineStr">
        <is>
          <t>Official Periodized Strength &amp; Peaking Protocol — Dynamic Master Workbook</t>
        </is>
      </c>
    </row>
    <row r="4"/>
    <row r="5">
      <c r="B5" s="3" t="inlineStr">
        <is>
          <t>1. ATHLETE MAXES &amp; TRAINING MAX CALCULATOR</t>
        </is>
      </c>
      <c r="G5" s="3" t="inlineStr">
        <is>
          <t>CORE AUTOREGULATION &amp; RULES</t>
        </is>
      </c>
    </row>
    <row r="6" ht="20" customHeight="1">
      <c r="B6" s="4" t="inlineStr">
        <is>
          <t>Lift</t>
        </is>
      </c>
      <c r="C6" s="4" t="inlineStr">
        <is>
          <t>Current 1RM (lbs)</t>
        </is>
      </c>
      <c r="D6" s="4" t="inlineStr">
        <is>
          <t>TM Percentage</t>
        </is>
      </c>
      <c r="E6" s="4" t="inlineStr">
        <is>
          <t>Calculated TM (lbs)</t>
        </is>
      </c>
      <c r="F6" s="4" t="inlineStr">
        <is>
          <t>Rounding Rule</t>
        </is>
      </c>
      <c r="G6" s="5" t="inlineStr">
        <is>
          <t>• The 5% Drop Rule</t>
        </is>
      </c>
    </row>
    <row r="7" ht="28" customHeight="1">
      <c r="B7" s="6" t="inlineStr">
        <is>
          <t>Back Squat</t>
        </is>
      </c>
      <c r="C7" s="7" t="n">
        <v>335</v>
      </c>
      <c r="D7" s="8" t="inlineStr">
        <is>
          <t>90%</t>
        </is>
      </c>
      <c r="E7" s="9">
        <f>ROUND(C7*0.9/5, 0)*5</f>
        <v/>
      </c>
      <c r="F7" s="10" t="inlineStr">
        <is>
          <t>Nearest 5 lbs (90% 1RM)</t>
        </is>
      </c>
      <c r="G7" s="11" t="inlineStr">
        <is>
          <t>If the first working set of any top set is &gt;1 RPE point harder than prescribed, or bar speed slows noticeably, DROP LOAD 5% and keep prescribed sets/reps. Never grind.</t>
        </is>
      </c>
    </row>
    <row r="8" ht="20" customHeight="1">
      <c r="B8" s="6" t="inlineStr">
        <is>
          <t>Bench Press</t>
        </is>
      </c>
      <c r="C8" s="7" t="n">
        <v>225</v>
      </c>
      <c r="D8" s="8" t="inlineStr">
        <is>
          <t>90%</t>
        </is>
      </c>
      <c r="E8" s="9">
        <f>ROUND(C8*0.9/5, 0)*5</f>
        <v/>
      </c>
      <c r="F8" s="10" t="inlineStr">
        <is>
          <t>Nearest 5 lbs (90% 1RM)</t>
        </is>
      </c>
      <c r="G8" s="5" t="inlineStr">
        <is>
          <t>• Training Max Concept</t>
        </is>
      </c>
    </row>
    <row r="9" ht="28" customHeight="1">
      <c r="B9" s="6" t="inlineStr">
        <is>
          <t>Deadlift</t>
        </is>
      </c>
      <c r="C9" s="7" t="n">
        <v>410</v>
      </c>
      <c r="D9" s="8" t="inlineStr">
        <is>
          <t>90%</t>
        </is>
      </c>
      <c r="E9" s="9">
        <f>ROUND(C9*0.9/5, 0)*5</f>
        <v/>
      </c>
      <c r="F9" s="10" t="inlineStr">
        <is>
          <t>Nearest 5 lbs (90% 1RM)</t>
        </is>
      </c>
      <c r="G9" s="11" t="inlineStr">
        <is>
          <t>All percentages are calibrated against your Training Max (TM = 90% of true 1RM), NOT your absolute 1RM. This guarantees clean bar path and injury prevention.</t>
        </is>
      </c>
    </row>
    <row r="10" ht="20" customHeight="1">
      <c r="B10" s="6" t="inlineStr">
        <is>
          <t>Paused Rack Pull (mid-shin)</t>
        </is>
      </c>
      <c r="C10" s="7" t="n">
        <v>450</v>
      </c>
      <c r="D10" s="8" t="inlineStr">
        <is>
          <t>Direct Entry</t>
        </is>
      </c>
      <c r="E10" s="9">
        <f>C10</f>
        <v/>
      </c>
      <c r="F10" s="10" t="inlineStr">
        <is>
          <t>Independent TM / Baseline Tested W1</t>
        </is>
      </c>
      <c r="G10" s="5" t="inlineStr">
        <is>
          <t>• RPE Scale Guide</t>
        </is>
      </c>
    </row>
    <row r="11" ht="118" customHeight="1">
      <c r="G11" s="11" t="inlineStr">
        <is>
          <t>@6: 4 reps in reserve (warmup/speed)
@7: 3 reps in reserve (crisp, solid)
@8: 2 reps in reserve (clean effort)
@8-9: 1-2 reps in reserve (near-limit)
@9: 1 rep in reserve (heavy single)
@10: 0 reps in reserve (true PR attempt)</t>
        </is>
      </c>
    </row>
    <row r="12" ht="20" customHeight="1">
      <c r="G12" s="5" t="inlineStr">
        <is>
          <t>• Deload Protocol</t>
        </is>
      </c>
    </row>
    <row r="13" ht="28" customHeight="1">
      <c r="G13" s="11" t="inlineStr">
        <is>
          <t>Weeks 5 and 10 are mandatory deloads. Resist the urge to push heavier; fatigue dissipation is required to hit peak adaptations in Weeks 6-9 and 11-13.</t>
        </is>
      </c>
    </row>
    <row r="14"/>
    <row r="15"/>
    <row r="16">
      <c r="B16" s="3" t="inlineStr">
        <is>
          <t>2. 13-WEEK PERIODIZATION MACROCYCLE ROADMAP</t>
        </is>
      </c>
    </row>
    <row r="17" ht="24" customHeight="1">
      <c r="B17" s="4" t="inlineStr">
        <is>
          <t>Week</t>
        </is>
      </c>
      <c r="C17" s="4" t="inlineStr">
        <is>
          <t>Phase</t>
        </is>
      </c>
      <c r="D17" s="4" t="inlineStr">
        <is>
          <t>Strategic Objective &amp; Role in Cycle</t>
        </is>
      </c>
      <c r="G17" s="4" t="inlineStr">
        <is>
          <t>Primary Prescription</t>
        </is>
      </c>
      <c r="I17" s="4" t="inlineStr">
        <is>
          <t>Target RPE</t>
        </is>
      </c>
    </row>
    <row r="18" ht="22" customHeight="1">
      <c r="B18" s="12" t="inlineStr">
        <is>
          <t>W1</t>
        </is>
      </c>
      <c r="C18" s="13" t="inlineStr">
        <is>
          <t>Accumulation</t>
        </is>
      </c>
      <c r="D18" s="14" t="inlineStr">
        <is>
          <t>Base building: Groove movement patterns, unilateral accessories, establish Rack Pull baseline.</t>
        </is>
      </c>
      <c r="G18" s="12" t="inlineStr">
        <is>
          <t>4x4 @ 68-70% TM</t>
        </is>
      </c>
      <c r="I18" s="15" t="inlineStr">
        <is>
          <t>RPE 7 (Submaximal)</t>
        </is>
      </c>
    </row>
    <row r="19" ht="22" customHeight="1">
      <c r="B19" s="12" t="inlineStr">
        <is>
          <t>W2</t>
        </is>
      </c>
      <c r="C19" s="13" t="inlineStr">
        <is>
          <t>Accumulation</t>
        </is>
      </c>
      <c r="D19" s="14" t="inlineStr">
        <is>
          <t>Volume accumulation: +1 set on Squat/Bench, +3% load progression.</t>
        </is>
      </c>
      <c r="G19" s="12" t="inlineStr">
        <is>
          <t>5x4 @ 72-73% TM</t>
        </is>
      </c>
      <c r="I19" s="15" t="inlineStr">
        <is>
          <t>RPE 7</t>
        </is>
      </c>
    </row>
    <row r="20" ht="22" customHeight="1">
      <c r="B20" s="12" t="inlineStr">
        <is>
          <t>W3</t>
        </is>
      </c>
      <c r="C20" s="13" t="inlineStr">
        <is>
          <t>Accumulation</t>
        </is>
      </c>
      <c r="D20" s="14" t="inlineStr">
        <is>
          <t>Volume peak start: Sets rise to 6x3 on Squat, 5x4 on Bench, Deadlift picks up 4th set.</t>
        </is>
      </c>
      <c r="G20" s="12" t="inlineStr">
        <is>
          <t>6x3 @ 76-77% TM</t>
        </is>
      </c>
      <c r="I20" s="15" t="inlineStr">
        <is>
          <t>RPE 7-8</t>
        </is>
      </c>
    </row>
    <row r="21" ht="22" customHeight="1">
      <c r="B21" s="12" t="inlineStr">
        <is>
          <t>W4</t>
        </is>
      </c>
      <c r="C21" s="16" t="inlineStr">
        <is>
          <t>Accumulation Peak</t>
        </is>
      </c>
      <c r="D21" s="14" t="inlineStr">
        <is>
          <t>Block fatigue peak: Heaviest accumulation sessions before reset. Paused DL dropped to protect back.</t>
        </is>
      </c>
      <c r="G21" s="12" t="inlineStr">
        <is>
          <t>6x3 @ 80% TM</t>
        </is>
      </c>
      <c r="I21" s="15" t="inlineStr">
        <is>
          <t>RPE 8 (Fatigue High)</t>
        </is>
      </c>
    </row>
    <row r="22" ht="22" customHeight="1">
      <c r="B22" s="12" t="inlineStr">
        <is>
          <t>W5</t>
        </is>
      </c>
      <c r="C22" s="17" t="inlineStr">
        <is>
          <t>Deload</t>
        </is>
      </c>
      <c r="D22" s="14" t="inlineStr">
        <is>
          <t>Fatigue dissipation: Deload volume and intensity to absorb training stress.</t>
        </is>
      </c>
      <c r="G22" s="12" t="inlineStr">
        <is>
          <t>2-3x3 @ 55-60% TM</t>
        </is>
      </c>
      <c r="I22" s="15" t="inlineStr">
        <is>
          <t>RPE 6 (Recovery)</t>
        </is>
      </c>
    </row>
    <row r="23" ht="22" customHeight="1">
      <c r="B23" s="12" t="inlineStr">
        <is>
          <t>W6</t>
        </is>
      </c>
      <c r="C23" s="18" t="inlineStr">
        <is>
          <t>Intensification</t>
        </is>
      </c>
      <c r="D23" s="14" t="inlineStr">
        <is>
          <t>Shift to neural drive: Volume drops, bar intensity jumps into 80s.</t>
        </is>
      </c>
      <c r="G23" s="12" t="inlineStr">
        <is>
          <t>5x3 @ 82-83% TM</t>
        </is>
      </c>
      <c r="I23" s="15" t="inlineStr">
        <is>
          <t>RPE 8 (Rested)</t>
        </is>
      </c>
    </row>
    <row r="24" ht="22" customHeight="1">
      <c r="B24" s="12" t="inlineStr">
        <is>
          <t>W7</t>
        </is>
      </c>
      <c r="C24" s="18" t="inlineStr">
        <is>
          <t>Intensification</t>
        </is>
      </c>
      <c r="D24" s="14" t="inlineStr">
        <is>
          <t>Doubles transition: Heavy doubles commence across all 4 lifts.</t>
        </is>
      </c>
      <c r="G24" s="12" t="inlineStr">
        <is>
          <t>5-6x2 @ 86-87% TM</t>
        </is>
      </c>
      <c r="I24" s="15" t="inlineStr">
        <is>
          <t>RPE 8</t>
        </is>
      </c>
    </row>
    <row r="25" ht="22" customHeight="1">
      <c r="B25" s="12" t="inlineStr">
        <is>
          <t>W8</t>
        </is>
      </c>
      <c r="C25" s="18" t="inlineStr">
        <is>
          <t>Intensification</t>
        </is>
      </c>
      <c r="D25" s="14" t="inlineStr">
        <is>
          <t>Heavy doubles threshold: Competition attempt weight familiarity.</t>
        </is>
      </c>
      <c r="G25" s="12" t="inlineStr">
        <is>
          <t>3-5x2 @ 88-90% TM</t>
        </is>
      </c>
      <c r="I25" s="15" t="inlineStr">
        <is>
          <t>RPE 8-9 (Heavy)</t>
        </is>
      </c>
    </row>
    <row r="26" ht="22" customHeight="1">
      <c r="B26" s="12" t="inlineStr">
        <is>
          <t>W9</t>
        </is>
      </c>
      <c r="C26" s="19" t="inlineStr">
        <is>
          <t>Top of Intensification</t>
        </is>
      </c>
      <c r="D26" s="14" t="inlineStr">
        <is>
          <t>Final near-max check: Controlled doubles + speed-gated optional singles.</t>
        </is>
      </c>
      <c r="G26" s="12" t="inlineStr">
        <is>
          <t>2-4x2 @ 88-90% (+opt single)</t>
        </is>
      </c>
      <c r="I26" s="15" t="inlineStr">
        <is>
          <t>RPE 8-9 (Critical gate)</t>
        </is>
      </c>
    </row>
    <row r="27" ht="22" customHeight="1">
      <c r="B27" s="12" t="inlineStr">
        <is>
          <t>W10</t>
        </is>
      </c>
      <c r="C27" s="17" t="inlineStr">
        <is>
          <t>Deload</t>
        </is>
      </c>
      <c r="D27" s="14" t="inlineStr">
        <is>
          <t>Pre-peak reset: Flush nervous system fatigue and supercompensate before peaking.</t>
        </is>
      </c>
      <c r="G27" s="12" t="inlineStr">
        <is>
          <t>2-3x2 @ 60-65% TM</t>
        </is>
      </c>
      <c r="I27" s="15" t="inlineStr">
        <is>
          <t>RPE 6 (Recovery)</t>
        </is>
      </c>
    </row>
    <row r="28" ht="22" customHeight="1">
      <c r="B28" s="12" t="inlineStr">
        <is>
          <t>W11</t>
        </is>
      </c>
      <c r="C28" s="20" t="inlineStr">
        <is>
          <t>Peak / Realization</t>
        </is>
      </c>
      <c r="D28" s="14" t="inlineStr">
        <is>
          <t>Heavy single realization: 90% TM single + back-off double at 82%.</t>
        </is>
      </c>
      <c r="G28" s="12" t="inlineStr">
        <is>
          <t>1x1 @ 88-90% + back-offs</t>
        </is>
      </c>
      <c r="I28" s="15" t="inlineStr">
        <is>
          <t>RPE 8-9</t>
        </is>
      </c>
    </row>
    <row r="29" ht="22" customHeight="1">
      <c r="B29" s="12" t="inlineStr">
        <is>
          <t>W12</t>
        </is>
      </c>
      <c r="C29" s="21" t="inlineStr">
        <is>
          <t>FINAL FORM (Taper)</t>
        </is>
      </c>
      <c r="D29" s="14" t="inlineStr">
        <is>
          <t>Sharpening taper: Neuromuscular readiness without fatigue; crisp speed singles.</t>
        </is>
      </c>
      <c r="G29" s="12" t="inlineStr">
        <is>
          <t>2-3x1 @ 82-85% TM</t>
        </is>
      </c>
      <c r="I29" s="15" t="inlineStr">
        <is>
          <t>RPE 7-8 (Crisp only)</t>
        </is>
      </c>
    </row>
    <row r="30" ht="22" customHeight="1">
      <c r="B30" s="12" t="inlineStr">
        <is>
          <t>W13</t>
        </is>
      </c>
      <c r="C30" s="22" t="inlineStr">
        <is>
          <t>Testing Window</t>
        </is>
      </c>
      <c r="D30" s="14" t="inlineStr">
        <is>
          <t>PR Test Week: Single activation day followed by individual PR test days with rest separation.</t>
        </is>
      </c>
      <c r="G30" s="12" t="inlineStr">
        <is>
          <t>Openers @ 90% TM -&gt; PRs</t>
        </is>
      </c>
      <c r="I30" s="15" t="inlineStr">
        <is>
          <t>RPE 9.5-10 (All-Out PRs)</t>
        </is>
      </c>
    </row>
    <row r="31"/>
    <row r="32"/>
    <row r="33">
      <c r="B33" s="3" t="inlineStr">
        <is>
          <t>3. PROJECTED PR TARGETS (13-WEEK ADAPTATION MODEL)</t>
        </is>
      </c>
    </row>
    <row r="34" ht="24" customHeight="1">
      <c r="B34" s="4" t="inlineStr">
        <is>
          <t>Lift</t>
        </is>
      </c>
      <c r="C34" s="4" t="inlineStr">
        <is>
          <t>Current 1RM</t>
        </is>
      </c>
      <c r="D34" s="4" t="inlineStr">
        <is>
          <t>Est. Weekly Adaptation</t>
        </is>
      </c>
      <c r="E34" s="4" t="inlineStr">
        <is>
          <t>Projected Base PR</t>
        </is>
      </c>
      <c r="F34" s="4" t="inlineStr">
        <is>
          <t>Conservative Range</t>
        </is>
      </c>
      <c r="G34" s="4" t="inlineStr">
        <is>
          <t>Aggressive Range</t>
        </is>
      </c>
      <c r="H34" s="4" t="inlineStr">
        <is>
          <t>Testing Day</t>
        </is>
      </c>
    </row>
    <row r="35" ht="24" customHeight="1">
      <c r="B35" s="23" t="inlineStr">
        <is>
          <t>Back Squat</t>
        </is>
      </c>
      <c r="C35" s="24">
        <f>C7</f>
        <v/>
      </c>
      <c r="D35" s="15" t="inlineStr">
        <is>
          <t>+0.5% / week</t>
        </is>
      </c>
      <c r="E35" s="9">
        <f>ROUND(C7*1.067/5, 0)*5</f>
        <v/>
      </c>
      <c r="F35" s="24">
        <f>ROUND(E35*0.97/5, 0)*5</f>
        <v/>
      </c>
      <c r="G35" s="24">
        <f>ROUND(E35*1.03/5, 0)*5</f>
        <v/>
      </c>
      <c r="H35" s="25" t="inlineStr">
        <is>
          <t>Week 13 — Day 3 (Day C)</t>
        </is>
      </c>
    </row>
    <row r="36" ht="24" customHeight="1">
      <c r="B36" s="23" t="inlineStr">
        <is>
          <t>Bench Press</t>
        </is>
      </c>
      <c r="C36" s="24">
        <f>C8</f>
        <v/>
      </c>
      <c r="D36" s="15" t="inlineStr">
        <is>
          <t>+0.5% / week</t>
        </is>
      </c>
      <c r="E36" s="9">
        <f>ROUND(C8*1.067/5, 0)*5</f>
        <v/>
      </c>
      <c r="F36" s="24">
        <f>ROUND(E36*0.97/5, 0)*5</f>
        <v/>
      </c>
      <c r="G36" s="24">
        <f>ROUND(E36*1.03/5, 0)*5</f>
        <v/>
      </c>
      <c r="H36" s="25" t="inlineStr">
        <is>
          <t>Week 13 — Day 2 (Day B)</t>
        </is>
      </c>
    </row>
    <row r="37" ht="24" customHeight="1">
      <c r="B37" s="23" t="inlineStr">
        <is>
          <t>Deadlift</t>
        </is>
      </c>
      <c r="C37" s="24">
        <f>C9</f>
        <v/>
      </c>
      <c r="D37" s="15" t="inlineStr">
        <is>
          <t>+0.5% / week</t>
        </is>
      </c>
      <c r="E37" s="9">
        <f>ROUND(C9*1.067/5, 0)*5</f>
        <v/>
      </c>
      <c r="F37" s="24">
        <f>ROUND(E37*0.97/5, 0)*5</f>
        <v/>
      </c>
      <c r="G37" s="24">
        <f>ROUND(E37*1.03/5, 0)*5</f>
        <v/>
      </c>
      <c r="H37" s="25" t="inlineStr">
        <is>
          <t>Week 13 — Day 4 (Day D)</t>
        </is>
      </c>
    </row>
    <row r="38" ht="24" customHeight="1">
      <c r="B38" s="23" t="inlineStr">
        <is>
          <t>Rack Pull</t>
        </is>
      </c>
      <c r="C38" s="24">
        <f>C10</f>
        <v/>
      </c>
      <c r="D38" s="15" t="inlineStr">
        <is>
          <t>+0.5% / week</t>
        </is>
      </c>
      <c r="E38" s="9">
        <f>ROUND(C10*1.067/5, 0)*5</f>
        <v/>
      </c>
      <c r="F38" s="24">
        <f>ROUND(E38*0.97/5, 0)*5</f>
        <v/>
      </c>
      <c r="G38" s="24">
        <f>ROUND(E38*1.03/5, 0)*5</f>
        <v/>
      </c>
      <c r="H38" s="25" t="inlineStr">
        <is>
          <t>Week 13 — Day 5 (Day E)</t>
        </is>
      </c>
    </row>
  </sheetData>
  <mergeCells count="42">
    <mergeCell ref="G21:H21"/>
    <mergeCell ref="G10:I10"/>
    <mergeCell ref="D27:F27"/>
    <mergeCell ref="G6:I6"/>
    <mergeCell ref="G13:I13"/>
    <mergeCell ref="B16:I16"/>
    <mergeCell ref="G27:H27"/>
    <mergeCell ref="B3:I3"/>
    <mergeCell ref="D17:F17"/>
    <mergeCell ref="G23:H23"/>
    <mergeCell ref="B5:E5"/>
    <mergeCell ref="G17:H17"/>
    <mergeCell ref="D28:F28"/>
    <mergeCell ref="G5:I5"/>
    <mergeCell ref="B2:I2"/>
    <mergeCell ref="D18:F18"/>
    <mergeCell ref="G19:H19"/>
    <mergeCell ref="G28:H28"/>
    <mergeCell ref="D30:F30"/>
    <mergeCell ref="G18:H18"/>
    <mergeCell ref="D25:F25"/>
    <mergeCell ref="D24:F24"/>
    <mergeCell ref="D29:F29"/>
    <mergeCell ref="D23:F23"/>
    <mergeCell ref="G24:H24"/>
    <mergeCell ref="G30:H30"/>
    <mergeCell ref="G9:I9"/>
    <mergeCell ref="D26:F26"/>
    <mergeCell ref="G12:I12"/>
    <mergeCell ref="D20:F20"/>
    <mergeCell ref="G26:H26"/>
    <mergeCell ref="G11:I11"/>
    <mergeCell ref="G29:H29"/>
    <mergeCell ref="D19:F19"/>
    <mergeCell ref="G20:H20"/>
    <mergeCell ref="B33:I33"/>
    <mergeCell ref="G25:H25"/>
    <mergeCell ref="D22:F22"/>
    <mergeCell ref="G8:I8"/>
    <mergeCell ref="G22:H22"/>
    <mergeCell ref="D21:F21"/>
    <mergeCell ref="G7: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62"/>
  <sheetViews>
    <sheetView showGridLines="1" workbookViewId="0">
      <pane ySplit="3" topLeftCell="A4" activePane="bottomLeft" state="frozen"/>
      <selection pane="bottomLeft" activeCell="A1" sqref="A1"/>
    </sheetView>
  </sheetViews>
  <sheetFormatPr baseColWidth="8" defaultRowHeight="15"/>
  <cols>
    <col width="8" customWidth="1" min="1" max="1"/>
    <col width="25" customWidth="1" min="2" max="2"/>
    <col width="8" customWidth="1" min="3" max="3"/>
    <col width="43" customWidth="1" min="4" max="4"/>
    <col width="7" customWidth="1" min="5" max="5"/>
    <col width="29" customWidth="1" min="6" max="6"/>
    <col width="12" customWidth="1" min="7" max="7"/>
    <col width="12" customWidth="1" min="8" max="8"/>
    <col width="13" customWidth="1" min="9" max="9"/>
    <col width="16" customWidth="1" min="10" max="10"/>
    <col width="10" customWidth="1" min="11" max="11"/>
    <col width="48" customWidth="1" min="12" max="12"/>
    <col width="14" customWidth="1" min="13" max="13"/>
    <col width="94" customWidth="1" min="14" max="14"/>
    <col width="20" customWidth="1" min="15" max="15"/>
    <col width="24" customWidth="1" min="16" max="16"/>
  </cols>
  <sheetData>
    <row r="1" ht="30" customHeight="1">
      <c r="A1" s="1" t="inlineStr">
        <is>
          <t>CHIKO_LIFTS : MASTER 13-WEEK TRAINING PROGRAM LOG</t>
        </is>
      </c>
    </row>
    <row r="2" ht="20" customHeight="1">
      <c r="A2" s="26" t="inlineStr">
        <is>
          <t>All 13 Weeks, 65 Sessions &amp; 259 Exercises — Live Dynamic Prescribed Load Formulas Linked to Setup &amp; Dashboard TM</t>
        </is>
      </c>
    </row>
    <row r="3" ht="26" customHeight="1">
      <c r="A3" s="4" t="inlineStr">
        <is>
          <t>Week</t>
        </is>
      </c>
      <c r="B3" s="4" t="inlineStr">
        <is>
          <t>Phase</t>
        </is>
      </c>
      <c r="C3" s="4" t="inlineStr">
        <is>
          <t>Day #</t>
        </is>
      </c>
      <c r="D3" s="4" t="inlineStr">
        <is>
          <t>Day Label / Focus</t>
        </is>
      </c>
      <c r="E3" s="4" t="inlineStr">
        <is>
          <t>Ex #</t>
        </is>
      </c>
      <c r="F3" s="4" t="inlineStr">
        <is>
          <t>Exercise Name</t>
        </is>
      </c>
      <c r="G3" s="4" t="inlineStr">
        <is>
          <t>Type</t>
        </is>
      </c>
      <c r="H3" s="4" t="inlineStr">
        <is>
          <t>Lift Ref</t>
        </is>
      </c>
      <c r="I3" s="4" t="inlineStr">
        <is>
          <t>Sets</t>
        </is>
      </c>
      <c r="J3" s="4" t="inlineStr">
        <is>
          <t>Reps</t>
        </is>
      </c>
      <c r="K3" s="4" t="inlineStr">
        <is>
          <t>% TM</t>
        </is>
      </c>
      <c r="L3" s="4" t="inlineStr">
        <is>
          <t>Prescribed Load (lbs)</t>
        </is>
      </c>
      <c r="M3" s="4" t="inlineStr">
        <is>
          <t>Target RPE</t>
        </is>
      </c>
      <c r="N3" s="4" t="inlineStr">
        <is>
          <t>Prescription / Coaching Notes</t>
        </is>
      </c>
      <c r="O3" s="4" t="inlineStr">
        <is>
          <t>Actual Load (lbs)</t>
        </is>
      </c>
      <c r="P3" s="4" t="inlineStr">
        <is>
          <t>Actual Reps / Notes</t>
        </is>
      </c>
    </row>
    <row r="4" ht="22" customHeight="1">
      <c r="A4" s="27" t="n">
        <v>1</v>
      </c>
      <c r="B4" s="28" t="inlineStr">
        <is>
          <t>Accumulation</t>
        </is>
      </c>
      <c r="C4" s="29" t="n">
        <v>1</v>
      </c>
      <c r="D4" s="30" t="inlineStr">
        <is>
          <t>Monday — Squat</t>
        </is>
      </c>
      <c r="E4" s="31" t="n">
        <v>1</v>
      </c>
      <c r="F4" s="32" t="inlineStr">
        <is>
          <t>Back squat</t>
        </is>
      </c>
      <c r="G4" s="33" t="inlineStr">
        <is>
          <t>Main Lift</t>
        </is>
      </c>
      <c r="H4" s="31" t="inlineStr">
        <is>
          <t>SQUAT</t>
        </is>
      </c>
      <c r="I4" s="27" t="n">
        <v>4</v>
      </c>
      <c r="J4" s="27" t="inlineStr">
        <is>
          <t>4</t>
        </is>
      </c>
      <c r="K4" s="34" t="n">
        <v>0.7</v>
      </c>
      <c r="L4" s="35">
        <f>ROUND('Setup &amp; Dashboard'!$E$7*0.7/5, 0)*5</f>
        <v/>
      </c>
      <c r="M4" s="27" t="inlineStr">
        <is>
          <t>RPE 7</t>
        </is>
      </c>
      <c r="N4" s="36" t="inlineStr"/>
      <c r="O4" s="12" t="inlineStr"/>
      <c r="P4" s="14" t="inlineStr"/>
    </row>
    <row r="5" ht="22" customHeight="1">
      <c r="A5" s="37" t="n">
        <v>1</v>
      </c>
      <c r="B5" s="28" t="inlineStr">
        <is>
          <t>Accumulation</t>
        </is>
      </c>
      <c r="C5" s="38" t="n">
        <v>1</v>
      </c>
      <c r="D5" s="39" t="inlineStr">
        <is>
          <t>Monday — Squat</t>
        </is>
      </c>
      <c r="E5" s="40" t="n">
        <v>2</v>
      </c>
      <c r="F5" s="39" t="inlineStr">
        <is>
          <t>Bulgarian split squat</t>
        </is>
      </c>
      <c r="G5" s="40" t="inlineStr">
        <is>
          <t>Accessory</t>
        </is>
      </c>
      <c r="H5" s="40" t="inlineStr">
        <is>
          <t>-</t>
        </is>
      </c>
      <c r="I5" s="38" t="n">
        <v>3</v>
      </c>
      <c r="J5" s="38" t="inlineStr">
        <is>
          <t>10/leg</t>
        </is>
      </c>
      <c r="K5" s="38" t="inlineStr"/>
      <c r="L5" s="29" t="inlineStr"/>
      <c r="M5" s="40" t="inlineStr"/>
      <c r="N5" s="36" t="inlineStr"/>
      <c r="O5" s="12" t="inlineStr"/>
      <c r="P5" s="14" t="inlineStr"/>
    </row>
    <row r="6" ht="22" customHeight="1">
      <c r="A6" s="27" t="n">
        <v>1</v>
      </c>
      <c r="B6" s="28" t="inlineStr">
        <is>
          <t>Accumulation</t>
        </is>
      </c>
      <c r="C6" s="29" t="n">
        <v>1</v>
      </c>
      <c r="D6" s="30" t="inlineStr">
        <is>
          <t>Monday — Squat</t>
        </is>
      </c>
      <c r="E6" s="31" t="n">
        <v>3</v>
      </c>
      <c r="F6" s="30" t="inlineStr">
        <is>
          <t>Seated leg curl</t>
        </is>
      </c>
      <c r="G6" s="31" t="inlineStr">
        <is>
          <t>Accessory</t>
        </is>
      </c>
      <c r="H6" s="31" t="inlineStr">
        <is>
          <t>-</t>
        </is>
      </c>
      <c r="I6" s="29" t="n">
        <v>3</v>
      </c>
      <c r="J6" s="29" t="inlineStr">
        <is>
          <t>12</t>
        </is>
      </c>
      <c r="K6" s="29" t="inlineStr"/>
      <c r="L6" s="29" t="inlineStr"/>
      <c r="M6" s="31" t="inlineStr"/>
      <c r="N6" s="36" t="inlineStr"/>
      <c r="O6" s="12" t="inlineStr"/>
      <c r="P6" s="14" t="inlineStr"/>
    </row>
    <row r="7" ht="22" customHeight="1">
      <c r="A7" s="37" t="n">
        <v>1</v>
      </c>
      <c r="B7" s="28" t="inlineStr">
        <is>
          <t>Accumulation</t>
        </is>
      </c>
      <c r="C7" s="38" t="n">
        <v>1</v>
      </c>
      <c r="D7" s="39" t="inlineStr">
        <is>
          <t>Monday — Squat</t>
        </is>
      </c>
      <c r="E7" s="40" t="n">
        <v>4</v>
      </c>
      <c r="F7" s="39" t="inlineStr">
        <is>
          <t>Pallof press</t>
        </is>
      </c>
      <c r="G7" s="40" t="inlineStr">
        <is>
          <t>Accessory</t>
        </is>
      </c>
      <c r="H7" s="40" t="inlineStr">
        <is>
          <t>-</t>
        </is>
      </c>
      <c r="I7" s="38" t="n">
        <v>3</v>
      </c>
      <c r="J7" s="38" t="inlineStr">
        <is>
          <t>10/side</t>
        </is>
      </c>
      <c r="K7" s="38" t="inlineStr"/>
      <c r="L7" s="29" t="inlineStr"/>
      <c r="M7" s="40" t="inlineStr"/>
      <c r="N7" s="36" t="inlineStr"/>
      <c r="O7" s="12" t="inlineStr"/>
      <c r="P7" s="14" t="inlineStr"/>
    </row>
    <row r="8" ht="22" customHeight="1">
      <c r="A8" s="27" t="n">
        <v>1</v>
      </c>
      <c r="B8" s="28" t="inlineStr">
        <is>
          <t>Accumulation</t>
        </is>
      </c>
      <c r="C8" s="29" t="n">
        <v>1</v>
      </c>
      <c r="D8" s="30" t="inlineStr">
        <is>
          <t>Monday — Squat</t>
        </is>
      </c>
      <c r="E8" s="31" t="n">
        <v>5</v>
      </c>
      <c r="F8" s="30" t="inlineStr">
        <is>
          <t>Standing calf raise</t>
        </is>
      </c>
      <c r="G8" s="31" t="inlineStr">
        <is>
          <t>Accessory</t>
        </is>
      </c>
      <c r="H8" s="31" t="inlineStr">
        <is>
          <t>-</t>
        </is>
      </c>
      <c r="I8" s="29" t="n">
        <v>3</v>
      </c>
      <c r="J8" s="29" t="inlineStr">
        <is>
          <t>15</t>
        </is>
      </c>
      <c r="K8" s="29" t="inlineStr"/>
      <c r="L8" s="29" t="inlineStr"/>
      <c r="M8" s="31" t="inlineStr"/>
      <c r="N8" s="36" t="inlineStr"/>
      <c r="O8" s="12" t="inlineStr"/>
      <c r="P8" s="14" t="inlineStr"/>
    </row>
    <row r="9" ht="22" customHeight="1">
      <c r="A9" s="27" t="n">
        <v>1</v>
      </c>
      <c r="B9" s="28" t="inlineStr">
        <is>
          <t>Accumulation</t>
        </is>
      </c>
      <c r="C9" s="29" t="n">
        <v>2</v>
      </c>
      <c r="D9" s="30" t="inlineStr">
        <is>
          <t>Tuesday — Bench</t>
        </is>
      </c>
      <c r="E9" s="31" t="n">
        <v>1</v>
      </c>
      <c r="F9" s="32" t="inlineStr">
        <is>
          <t>Bench press</t>
        </is>
      </c>
      <c r="G9" s="33" t="inlineStr">
        <is>
          <t>Main Lift</t>
        </is>
      </c>
      <c r="H9" s="31" t="inlineStr">
        <is>
          <t>BENCH</t>
        </is>
      </c>
      <c r="I9" s="27" t="n">
        <v>4</v>
      </c>
      <c r="J9" s="27" t="inlineStr">
        <is>
          <t>4</t>
        </is>
      </c>
      <c r="K9" s="34" t="n">
        <v>0.7</v>
      </c>
      <c r="L9" s="35">
        <f>ROUND('Setup &amp; Dashboard'!$E$8*0.7/5, 0)*5</f>
        <v/>
      </c>
      <c r="M9" s="27" t="inlineStr">
        <is>
          <t>RPE 7</t>
        </is>
      </c>
      <c r="N9" s="36" t="inlineStr"/>
      <c r="O9" s="12" t="inlineStr"/>
      <c r="P9" s="14" t="inlineStr"/>
    </row>
    <row r="10" ht="22" customHeight="1">
      <c r="A10" s="27" t="n">
        <v>1</v>
      </c>
      <c r="B10" s="28" t="inlineStr">
        <is>
          <t>Accumulation</t>
        </is>
      </c>
      <c r="C10" s="29" t="n">
        <v>2</v>
      </c>
      <c r="D10" s="30" t="inlineStr">
        <is>
          <t>Tuesday — Bench</t>
        </is>
      </c>
      <c r="E10" s="31" t="n">
        <v>2</v>
      </c>
      <c r="F10" s="30" t="inlineStr">
        <is>
          <t>Close-grip bench</t>
        </is>
      </c>
      <c r="G10" s="31" t="inlineStr">
        <is>
          <t>Accessory</t>
        </is>
      </c>
      <c r="H10" s="31" t="inlineStr">
        <is>
          <t>-</t>
        </is>
      </c>
      <c r="I10" s="29" t="n">
        <v>3</v>
      </c>
      <c r="J10" s="29" t="inlineStr">
        <is>
          <t>6</t>
        </is>
      </c>
      <c r="K10" s="29" t="inlineStr"/>
      <c r="L10" s="29" t="inlineStr"/>
      <c r="M10" s="27" t="inlineStr">
        <is>
          <t>RPE 7</t>
        </is>
      </c>
      <c r="N10" s="36" t="inlineStr"/>
      <c r="O10" s="12" t="inlineStr"/>
      <c r="P10" s="14" t="inlineStr"/>
    </row>
    <row r="11" ht="22" customHeight="1">
      <c r="A11" s="37" t="n">
        <v>1</v>
      </c>
      <c r="B11" s="28" t="inlineStr">
        <is>
          <t>Accumulation</t>
        </is>
      </c>
      <c r="C11" s="38" t="n">
        <v>2</v>
      </c>
      <c r="D11" s="39" t="inlineStr">
        <is>
          <t>Tuesday — Bench</t>
        </is>
      </c>
      <c r="E11" s="40" t="n">
        <v>3</v>
      </c>
      <c r="F11" s="39" t="inlineStr">
        <is>
          <t>Incline DB press</t>
        </is>
      </c>
      <c r="G11" s="40" t="inlineStr">
        <is>
          <t>Accessory</t>
        </is>
      </c>
      <c r="H11" s="40" t="inlineStr">
        <is>
          <t>-</t>
        </is>
      </c>
      <c r="I11" s="38" t="n">
        <v>3</v>
      </c>
      <c r="J11" s="38" t="inlineStr">
        <is>
          <t>12</t>
        </is>
      </c>
      <c r="K11" s="38" t="inlineStr"/>
      <c r="L11" s="29" t="inlineStr"/>
      <c r="M11" s="40" t="inlineStr"/>
      <c r="N11" s="36" t="inlineStr"/>
      <c r="O11" s="12" t="inlineStr"/>
      <c r="P11" s="14" t="inlineStr"/>
    </row>
    <row r="12" ht="22" customHeight="1">
      <c r="A12" s="27" t="n">
        <v>1</v>
      </c>
      <c r="B12" s="28" t="inlineStr">
        <is>
          <t>Accumulation</t>
        </is>
      </c>
      <c r="C12" s="29" t="n">
        <v>2</v>
      </c>
      <c r="D12" s="30" t="inlineStr">
        <is>
          <t>Tuesday — Bench</t>
        </is>
      </c>
      <c r="E12" s="31" t="n">
        <v>4</v>
      </c>
      <c r="F12" s="30" t="inlineStr">
        <is>
          <t>Triceps pressdown</t>
        </is>
      </c>
      <c r="G12" s="31" t="inlineStr">
        <is>
          <t>Accessory</t>
        </is>
      </c>
      <c r="H12" s="31" t="inlineStr">
        <is>
          <t>-</t>
        </is>
      </c>
      <c r="I12" s="29" t="n">
        <v>3</v>
      </c>
      <c r="J12" s="29" t="inlineStr">
        <is>
          <t>12</t>
        </is>
      </c>
      <c r="K12" s="29" t="inlineStr"/>
      <c r="L12" s="29" t="inlineStr"/>
      <c r="M12" s="31" t="inlineStr"/>
      <c r="N12" s="36" t="inlineStr"/>
      <c r="O12" s="12" t="inlineStr"/>
      <c r="P12" s="14" t="inlineStr"/>
    </row>
    <row r="13" ht="22" customHeight="1">
      <c r="A13" s="37" t="n">
        <v>1</v>
      </c>
      <c r="B13" s="28" t="inlineStr">
        <is>
          <t>Accumulation</t>
        </is>
      </c>
      <c r="C13" s="38" t="n">
        <v>2</v>
      </c>
      <c r="D13" s="39" t="inlineStr">
        <is>
          <t>Tuesday — Bench</t>
        </is>
      </c>
      <c r="E13" s="40" t="n">
        <v>5</v>
      </c>
      <c r="F13" s="39" t="inlineStr">
        <is>
          <t>Face pull</t>
        </is>
      </c>
      <c r="G13" s="40" t="inlineStr">
        <is>
          <t>Accessory</t>
        </is>
      </c>
      <c r="H13" s="40" t="inlineStr">
        <is>
          <t>-</t>
        </is>
      </c>
      <c r="I13" s="38" t="n">
        <v>3</v>
      </c>
      <c r="J13" s="38" t="inlineStr">
        <is>
          <t>15</t>
        </is>
      </c>
      <c r="K13" s="38" t="inlineStr"/>
      <c r="L13" s="29" t="inlineStr"/>
      <c r="M13" s="40" t="inlineStr"/>
      <c r="N13" s="36" t="inlineStr"/>
      <c r="O13" s="12" t="inlineStr"/>
      <c r="P13" s="14" t="inlineStr"/>
    </row>
    <row r="14" ht="22" customHeight="1">
      <c r="A14" s="27" t="n">
        <v>1</v>
      </c>
      <c r="B14" s="28" t="inlineStr">
        <is>
          <t>Accumulation</t>
        </is>
      </c>
      <c r="C14" s="29" t="n">
        <v>3</v>
      </c>
      <c r="D14" s="30" t="inlineStr">
        <is>
          <t>Thursday — Deadlift</t>
        </is>
      </c>
      <c r="E14" s="31" t="n">
        <v>1</v>
      </c>
      <c r="F14" s="32" t="inlineStr">
        <is>
          <t>Deadlift</t>
        </is>
      </c>
      <c r="G14" s="33" t="inlineStr">
        <is>
          <t>Main Lift</t>
        </is>
      </c>
      <c r="H14" s="31" t="inlineStr">
        <is>
          <t>DEADLIFT</t>
        </is>
      </c>
      <c r="I14" s="27" t="n">
        <v>3</v>
      </c>
      <c r="J14" s="27" t="inlineStr">
        <is>
          <t>4</t>
        </is>
      </c>
      <c r="K14" s="34" t="n">
        <v>0.68</v>
      </c>
      <c r="L14" s="35">
        <f>ROUND('Setup &amp; Dashboard'!$E$9*0.68/5, 0)*5</f>
        <v/>
      </c>
      <c r="M14" s="27" t="inlineStr">
        <is>
          <t>RPE 7</t>
        </is>
      </c>
      <c r="N14" s="36" t="inlineStr"/>
      <c r="O14" s="12" t="inlineStr"/>
      <c r="P14" s="14" t="inlineStr"/>
    </row>
    <row r="15" ht="22" customHeight="1">
      <c r="A15" s="37" t="n">
        <v>1</v>
      </c>
      <c r="B15" s="28" t="inlineStr">
        <is>
          <t>Accumulation</t>
        </is>
      </c>
      <c r="C15" s="38" t="n">
        <v>3</v>
      </c>
      <c r="D15" s="39" t="inlineStr">
        <is>
          <t>Thursday — Deadlift</t>
        </is>
      </c>
      <c r="E15" s="40" t="n">
        <v>2</v>
      </c>
      <c r="F15" s="39" t="inlineStr">
        <is>
          <t>Paused deadlift (mid-shin)</t>
        </is>
      </c>
      <c r="G15" s="40" t="inlineStr">
        <is>
          <t>Accessory</t>
        </is>
      </c>
      <c r="H15" s="40" t="inlineStr">
        <is>
          <t>DEADLIFT</t>
        </is>
      </c>
      <c r="I15" s="38" t="n">
        <v>2</v>
      </c>
      <c r="J15" s="38" t="inlineStr">
        <is>
          <t>3</t>
        </is>
      </c>
      <c r="K15" s="41" t="n">
        <v>0.55</v>
      </c>
      <c r="L15" s="35">
        <f>ROUND('Setup &amp; Dashboard'!$E$9*0.55/5, 0)*5</f>
        <v/>
      </c>
      <c r="M15" s="40" t="inlineStr"/>
      <c r="N15" s="36" t="inlineStr"/>
      <c r="O15" s="12" t="inlineStr"/>
      <c r="P15" s="14" t="inlineStr"/>
    </row>
    <row r="16" ht="22" customHeight="1">
      <c r="A16" s="27" t="n">
        <v>1</v>
      </c>
      <c r="B16" s="28" t="inlineStr">
        <is>
          <t>Accumulation</t>
        </is>
      </c>
      <c r="C16" s="29" t="n">
        <v>3</v>
      </c>
      <c r="D16" s="30" t="inlineStr">
        <is>
          <t>Thursday — Deadlift</t>
        </is>
      </c>
      <c r="E16" s="31" t="n">
        <v>3</v>
      </c>
      <c r="F16" s="30" t="inlineStr">
        <is>
          <t>Farmer's carry</t>
        </is>
      </c>
      <c r="G16" s="31" t="inlineStr">
        <is>
          <t>Accessory</t>
        </is>
      </c>
      <c r="H16" s="31" t="inlineStr">
        <is>
          <t>-</t>
        </is>
      </c>
      <c r="I16" s="29" t="n">
        <v>3</v>
      </c>
      <c r="J16" s="29" t="inlineStr">
        <is>
          <t>30-40m</t>
        </is>
      </c>
      <c r="K16" s="29" t="inlineStr"/>
      <c r="L16" s="29" t="inlineStr"/>
      <c r="M16" s="31" t="inlineStr"/>
      <c r="N16" s="36" t="inlineStr"/>
      <c r="O16" s="12" t="inlineStr"/>
      <c r="P16" s="14" t="inlineStr"/>
    </row>
    <row r="17" ht="22" customHeight="1">
      <c r="A17" s="37" t="n">
        <v>1</v>
      </c>
      <c r="B17" s="28" t="inlineStr">
        <is>
          <t>Accumulation</t>
        </is>
      </c>
      <c r="C17" s="38" t="n">
        <v>3</v>
      </c>
      <c r="D17" s="39" t="inlineStr">
        <is>
          <t>Thursday — Deadlift</t>
        </is>
      </c>
      <c r="E17" s="40" t="n">
        <v>4</v>
      </c>
      <c r="F17" s="39" t="inlineStr">
        <is>
          <t>Reverse hyper</t>
        </is>
      </c>
      <c r="G17" s="40" t="inlineStr">
        <is>
          <t>Accessory</t>
        </is>
      </c>
      <c r="H17" s="40" t="inlineStr">
        <is>
          <t>-</t>
        </is>
      </c>
      <c r="I17" s="38" t="n">
        <v>2</v>
      </c>
      <c r="J17" s="38" t="inlineStr">
        <is>
          <t>15</t>
        </is>
      </c>
      <c r="K17" s="38" t="inlineStr"/>
      <c r="L17" s="29" t="inlineStr"/>
      <c r="M17" s="40" t="inlineStr"/>
      <c r="N17" s="36" t="inlineStr"/>
      <c r="O17" s="12" t="inlineStr"/>
      <c r="P17" s="14" t="inlineStr"/>
    </row>
    <row r="18" ht="22" customHeight="1">
      <c r="A18" s="27" t="n">
        <v>1</v>
      </c>
      <c r="B18" s="28" t="inlineStr">
        <is>
          <t>Accumulation</t>
        </is>
      </c>
      <c r="C18" s="29" t="n">
        <v>3</v>
      </c>
      <c r="D18" s="30" t="inlineStr">
        <is>
          <t>Thursday — Deadlift</t>
        </is>
      </c>
      <c r="E18" s="31" t="n">
        <v>5</v>
      </c>
      <c r="F18" s="30" t="inlineStr">
        <is>
          <t>Jefferson curl</t>
        </is>
      </c>
      <c r="G18" s="31" t="inlineStr">
        <is>
          <t>Accessory</t>
        </is>
      </c>
      <c r="H18" s="31" t="inlineStr">
        <is>
          <t>-</t>
        </is>
      </c>
      <c r="I18" s="29" t="n">
        <v>2</v>
      </c>
      <c r="J18" s="29" t="inlineStr">
        <is>
          <t>8</t>
        </is>
      </c>
      <c r="K18" s="29" t="inlineStr"/>
      <c r="L18" s="29" t="inlineStr"/>
      <c r="M18" s="31" t="inlineStr"/>
      <c r="N18" s="36" t="inlineStr"/>
      <c r="O18" s="12" t="inlineStr"/>
      <c r="P18" s="14" t="inlineStr"/>
    </row>
    <row r="19" ht="22" customHeight="1">
      <c r="A19" s="27" t="n">
        <v>1</v>
      </c>
      <c r="B19" s="28" t="inlineStr">
        <is>
          <t>Accumulation</t>
        </is>
      </c>
      <c r="C19" s="29" t="n">
        <v>4</v>
      </c>
      <c r="D19" s="30" t="inlineStr">
        <is>
          <t>Friday — Bench variant / upper body</t>
        </is>
      </c>
      <c r="E19" s="31" t="n">
        <v>1</v>
      </c>
      <c r="F19" s="32" t="inlineStr">
        <is>
          <t>Tempo bench (3-1-1)</t>
        </is>
      </c>
      <c r="G19" s="33" t="inlineStr">
        <is>
          <t>Main Lift</t>
        </is>
      </c>
      <c r="H19" s="31" t="inlineStr">
        <is>
          <t>BENCH</t>
        </is>
      </c>
      <c r="I19" s="27" t="n">
        <v>4</v>
      </c>
      <c r="J19" s="27" t="inlineStr">
        <is>
          <t>4</t>
        </is>
      </c>
      <c r="K19" s="34" t="n">
        <v>0.65</v>
      </c>
      <c r="L19" s="35">
        <f>ROUND('Setup &amp; Dashboard'!$E$8*0.65/5, 0)*5</f>
        <v/>
      </c>
      <c r="M19" s="27" t="inlineStr">
        <is>
          <t>RPE 6-7</t>
        </is>
      </c>
      <c r="N19" s="36" t="inlineStr"/>
      <c r="O19" s="12" t="inlineStr"/>
      <c r="P19" s="14" t="inlineStr"/>
    </row>
    <row r="20" ht="22" customHeight="1">
      <c r="A20" s="27" t="n">
        <v>1</v>
      </c>
      <c r="B20" s="28" t="inlineStr">
        <is>
          <t>Accumulation</t>
        </is>
      </c>
      <c r="C20" s="29" t="n">
        <v>4</v>
      </c>
      <c r="D20" s="30" t="inlineStr">
        <is>
          <t>Friday — Bench variant / upper body</t>
        </is>
      </c>
      <c r="E20" s="31" t="n">
        <v>2</v>
      </c>
      <c r="F20" s="30" t="inlineStr">
        <is>
          <t>Chest-supported row</t>
        </is>
      </c>
      <c r="G20" s="31" t="inlineStr">
        <is>
          <t>Accessory</t>
        </is>
      </c>
      <c r="H20" s="31" t="inlineStr">
        <is>
          <t>-</t>
        </is>
      </c>
      <c r="I20" s="29" t="n">
        <v>4</v>
      </c>
      <c r="J20" s="29" t="inlineStr">
        <is>
          <t>10</t>
        </is>
      </c>
      <c r="K20" s="29" t="inlineStr"/>
      <c r="L20" s="29" t="inlineStr"/>
      <c r="M20" s="31" t="inlineStr"/>
      <c r="N20" s="36" t="inlineStr"/>
      <c r="O20" s="12" t="inlineStr"/>
      <c r="P20" s="14" t="inlineStr"/>
    </row>
    <row r="21" ht="22" customHeight="1">
      <c r="A21" s="37" t="n">
        <v>1</v>
      </c>
      <c r="B21" s="28" t="inlineStr">
        <is>
          <t>Accumulation</t>
        </is>
      </c>
      <c r="C21" s="38" t="n">
        <v>4</v>
      </c>
      <c r="D21" s="39" t="inlineStr">
        <is>
          <t>Friday — Bench variant / upper body</t>
        </is>
      </c>
      <c r="E21" s="40" t="n">
        <v>3</v>
      </c>
      <c r="F21" s="39" t="inlineStr">
        <is>
          <t>Lat pulldown</t>
        </is>
      </c>
      <c r="G21" s="40" t="inlineStr">
        <is>
          <t>Accessory</t>
        </is>
      </c>
      <c r="H21" s="40" t="inlineStr">
        <is>
          <t>-</t>
        </is>
      </c>
      <c r="I21" s="38" t="n">
        <v>3</v>
      </c>
      <c r="J21" s="38" t="inlineStr">
        <is>
          <t>12</t>
        </is>
      </c>
      <c r="K21" s="38" t="inlineStr"/>
      <c r="L21" s="29" t="inlineStr"/>
      <c r="M21" s="40" t="inlineStr"/>
      <c r="N21" s="36" t="inlineStr"/>
      <c r="O21" s="12" t="inlineStr"/>
      <c r="P21" s="14" t="inlineStr"/>
    </row>
    <row r="22" ht="22" customHeight="1">
      <c r="A22" s="27" t="n">
        <v>1</v>
      </c>
      <c r="B22" s="28" t="inlineStr">
        <is>
          <t>Accumulation</t>
        </is>
      </c>
      <c r="C22" s="29" t="n">
        <v>4</v>
      </c>
      <c r="D22" s="30" t="inlineStr">
        <is>
          <t>Friday — Bench variant / upper body</t>
        </is>
      </c>
      <c r="E22" s="31" t="n">
        <v>4</v>
      </c>
      <c r="F22" s="30" t="inlineStr">
        <is>
          <t>Lateral raise</t>
        </is>
      </c>
      <c r="G22" s="31" t="inlineStr">
        <is>
          <t>Accessory</t>
        </is>
      </c>
      <c r="H22" s="31" t="inlineStr">
        <is>
          <t>-</t>
        </is>
      </c>
      <c r="I22" s="29" t="n">
        <v>3</v>
      </c>
      <c r="J22" s="29" t="inlineStr">
        <is>
          <t>15</t>
        </is>
      </c>
      <c r="K22" s="29" t="inlineStr"/>
      <c r="L22" s="29" t="inlineStr"/>
      <c r="M22" s="31" t="inlineStr"/>
      <c r="N22" s="36" t="inlineStr"/>
      <c r="O22" s="12" t="inlineStr"/>
      <c r="P22" s="14" t="inlineStr"/>
    </row>
    <row r="23" ht="22" customHeight="1">
      <c r="A23" s="37" t="n">
        <v>1</v>
      </c>
      <c r="B23" s="28" t="inlineStr">
        <is>
          <t>Accumulation</t>
        </is>
      </c>
      <c r="C23" s="38" t="n">
        <v>4</v>
      </c>
      <c r="D23" s="39" t="inlineStr">
        <is>
          <t>Friday — Bench variant / upper body</t>
        </is>
      </c>
      <c r="E23" s="40" t="n">
        <v>5</v>
      </c>
      <c r="F23" s="39" t="inlineStr">
        <is>
          <t>Curl</t>
        </is>
      </c>
      <c r="G23" s="40" t="inlineStr">
        <is>
          <t>Accessory</t>
        </is>
      </c>
      <c r="H23" s="40" t="inlineStr">
        <is>
          <t>-</t>
        </is>
      </c>
      <c r="I23" s="38" t="n">
        <v>3</v>
      </c>
      <c r="J23" s="38" t="inlineStr">
        <is>
          <t>12</t>
        </is>
      </c>
      <c r="K23" s="38" t="inlineStr"/>
      <c r="L23" s="29" t="inlineStr"/>
      <c r="M23" s="40" t="inlineStr"/>
      <c r="N23" s="36" t="inlineStr"/>
      <c r="O23" s="12" t="inlineStr"/>
      <c r="P23" s="14" t="inlineStr"/>
    </row>
    <row r="24" ht="22" customHeight="1">
      <c r="A24" s="27" t="n">
        <v>1</v>
      </c>
      <c r="B24" s="28" t="inlineStr">
        <is>
          <t>Accumulation</t>
        </is>
      </c>
      <c r="C24" s="29" t="n">
        <v>4</v>
      </c>
      <c r="D24" s="30" t="inlineStr">
        <is>
          <t>Friday — Bench variant / upper body</t>
        </is>
      </c>
      <c r="E24" s="31" t="n">
        <v>6</v>
      </c>
      <c r="F24" s="30" t="inlineStr">
        <is>
          <t>Pallof press</t>
        </is>
      </c>
      <c r="G24" s="31" t="inlineStr">
        <is>
          <t>Accessory</t>
        </is>
      </c>
      <c r="H24" s="31" t="inlineStr">
        <is>
          <t>-</t>
        </is>
      </c>
      <c r="I24" s="29" t="n">
        <v>3</v>
      </c>
      <c r="J24" s="29" t="inlineStr">
        <is>
          <t>10/side</t>
        </is>
      </c>
      <c r="K24" s="29" t="inlineStr"/>
      <c r="L24" s="29" t="inlineStr"/>
      <c r="M24" s="31" t="inlineStr"/>
      <c r="N24" s="36" t="inlineStr"/>
      <c r="O24" s="12" t="inlineStr"/>
      <c r="P24" s="14" t="inlineStr"/>
    </row>
    <row r="25" ht="22" customHeight="1">
      <c r="A25" s="27" t="n">
        <v>1</v>
      </c>
      <c r="B25" s="28" t="inlineStr">
        <is>
          <t>Accumulation</t>
        </is>
      </c>
      <c r="C25" s="29" t="n">
        <v>5</v>
      </c>
      <c r="D25" s="30" t="inlineStr">
        <is>
          <t>Saturday — Squat variant + Rack Pull</t>
        </is>
      </c>
      <c r="E25" s="31" t="n">
        <v>1</v>
      </c>
      <c r="F25" s="32" t="inlineStr">
        <is>
          <t>Paused squat</t>
        </is>
      </c>
      <c r="G25" s="33" t="inlineStr">
        <is>
          <t>Main Lift</t>
        </is>
      </c>
      <c r="H25" s="31" t="inlineStr">
        <is>
          <t>SQUAT</t>
        </is>
      </c>
      <c r="I25" s="27" t="n">
        <v>3</v>
      </c>
      <c r="J25" s="27" t="inlineStr">
        <is>
          <t>3</t>
        </is>
      </c>
      <c r="K25" s="34" t="n">
        <v>0.7</v>
      </c>
      <c r="L25" s="35">
        <f>ROUND('Setup &amp; Dashboard'!$E$7*0.7/5, 0)*5</f>
        <v/>
      </c>
      <c r="M25" s="27" t="inlineStr">
        <is>
          <t>RPE 7</t>
        </is>
      </c>
      <c r="N25" s="36" t="inlineStr"/>
      <c r="O25" s="12" t="inlineStr"/>
      <c r="P25" s="14" t="inlineStr"/>
    </row>
    <row r="26" ht="22" customHeight="1">
      <c r="A26" s="27" t="n">
        <v>1</v>
      </c>
      <c r="B26" s="28" t="inlineStr">
        <is>
          <t>Accumulation</t>
        </is>
      </c>
      <c r="C26" s="29" t="n">
        <v>5</v>
      </c>
      <c r="D26" s="30" t="inlineStr">
        <is>
          <t>Saturday — Squat variant + Rack Pull</t>
        </is>
      </c>
      <c r="E26" s="31" t="n">
        <v>2</v>
      </c>
      <c r="F26" s="32" t="inlineStr">
        <is>
          <t>Rack pull baseline test</t>
        </is>
      </c>
      <c r="G26" s="33" t="inlineStr">
        <is>
          <t>Main Lift</t>
        </is>
      </c>
      <c r="H26" s="31" t="inlineStr">
        <is>
          <t>RACKPULL</t>
        </is>
      </c>
      <c r="I26" s="27" t="n">
        <v>1</v>
      </c>
      <c r="J26" s="27" t="inlineStr">
        <is>
          <t>1</t>
        </is>
      </c>
      <c r="K26" s="27" t="inlineStr"/>
      <c r="L26" s="29" t="inlineStr"/>
      <c r="M26" s="31" t="inlineStr"/>
      <c r="N26" s="42" t="inlineStr">
        <is>
          <t>Bar x5, 40%x5, 55%x3, 70%x2, 80%x1, work up to clean top set @ RPE 8</t>
        </is>
      </c>
      <c r="O26" s="12" t="inlineStr"/>
      <c r="P26" s="14" t="inlineStr"/>
    </row>
    <row r="27" ht="22" customHeight="1">
      <c r="A27" s="37" t="n">
        <v>1</v>
      </c>
      <c r="B27" s="28" t="inlineStr">
        <is>
          <t>Accumulation</t>
        </is>
      </c>
      <c r="C27" s="38" t="n">
        <v>5</v>
      </c>
      <c r="D27" s="39" t="inlineStr">
        <is>
          <t>Saturday — Squat variant + Rack Pull</t>
        </is>
      </c>
      <c r="E27" s="40" t="n">
        <v>3</v>
      </c>
      <c r="F27" s="39" t="inlineStr">
        <is>
          <t>Reverse hyper</t>
        </is>
      </c>
      <c r="G27" s="40" t="inlineStr">
        <is>
          <t>Accessory</t>
        </is>
      </c>
      <c r="H27" s="40" t="inlineStr">
        <is>
          <t>-</t>
        </is>
      </c>
      <c r="I27" s="38" t="n">
        <v>2</v>
      </c>
      <c r="J27" s="38" t="inlineStr">
        <is>
          <t>12</t>
        </is>
      </c>
      <c r="K27" s="38" t="inlineStr"/>
      <c r="L27" s="29" t="inlineStr"/>
      <c r="M27" s="40" t="inlineStr"/>
      <c r="N27" s="36" t="inlineStr"/>
      <c r="O27" s="12" t="inlineStr"/>
      <c r="P27" s="14" t="inlineStr"/>
    </row>
    <row r="28" ht="22" customHeight="1">
      <c r="A28" s="27" t="n">
        <v>1</v>
      </c>
      <c r="B28" s="28" t="inlineStr">
        <is>
          <t>Accumulation</t>
        </is>
      </c>
      <c r="C28" s="29" t="n">
        <v>5</v>
      </c>
      <c r="D28" s="30" t="inlineStr">
        <is>
          <t>Saturday — Squat variant + Rack Pull</t>
        </is>
      </c>
      <c r="E28" s="31" t="n">
        <v>4</v>
      </c>
      <c r="F28" s="30" t="inlineStr">
        <is>
          <t>GHR or Nordic curl</t>
        </is>
      </c>
      <c r="G28" s="31" t="inlineStr">
        <is>
          <t>Accessory</t>
        </is>
      </c>
      <c r="H28" s="31" t="inlineStr">
        <is>
          <t>-</t>
        </is>
      </c>
      <c r="I28" s="29" t="n">
        <v>3</v>
      </c>
      <c r="J28" s="29" t="inlineStr">
        <is>
          <t>8</t>
        </is>
      </c>
      <c r="K28" s="29" t="inlineStr"/>
      <c r="L28" s="29" t="inlineStr"/>
      <c r="M28" s="31" t="inlineStr"/>
      <c r="N28" s="36" t="inlineStr"/>
      <c r="O28" s="12" t="inlineStr"/>
      <c r="P28" s="14" t="inlineStr"/>
    </row>
    <row r="29" ht="22" customHeight="1">
      <c r="A29" s="37" t="n">
        <v>1</v>
      </c>
      <c r="B29" s="28" t="inlineStr">
        <is>
          <t>Accumulation</t>
        </is>
      </c>
      <c r="C29" s="38" t="n">
        <v>5</v>
      </c>
      <c r="D29" s="39" t="inlineStr">
        <is>
          <t>Saturday — Squat variant + Rack Pull</t>
        </is>
      </c>
      <c r="E29" s="40" t="n">
        <v>5</v>
      </c>
      <c r="F29" s="39" t="inlineStr">
        <is>
          <t>Jefferson curl</t>
        </is>
      </c>
      <c r="G29" s="40" t="inlineStr">
        <is>
          <t>Accessory</t>
        </is>
      </c>
      <c r="H29" s="40" t="inlineStr">
        <is>
          <t>-</t>
        </is>
      </c>
      <c r="I29" s="38" t="n">
        <v>1</v>
      </c>
      <c r="J29" s="38" t="inlineStr">
        <is>
          <t>8</t>
        </is>
      </c>
      <c r="K29" s="38" t="inlineStr"/>
      <c r="L29" s="29" t="inlineStr"/>
      <c r="M29" s="40" t="inlineStr"/>
      <c r="N29" s="36" t="inlineStr"/>
      <c r="O29" s="12" t="inlineStr"/>
      <c r="P29" s="14" t="inlineStr"/>
    </row>
    <row r="30" ht="22" customHeight="1">
      <c r="A30" s="27" t="n">
        <v>2</v>
      </c>
      <c r="B30" s="28" t="inlineStr">
        <is>
          <t>Accumulation</t>
        </is>
      </c>
      <c r="C30" s="29" t="n">
        <v>1</v>
      </c>
      <c r="D30" s="30" t="inlineStr">
        <is>
          <t>Monday — Squat</t>
        </is>
      </c>
      <c r="E30" s="31" t="n">
        <v>1</v>
      </c>
      <c r="F30" s="32" t="inlineStr">
        <is>
          <t>Back squat</t>
        </is>
      </c>
      <c r="G30" s="33" t="inlineStr">
        <is>
          <t>Main Lift</t>
        </is>
      </c>
      <c r="H30" s="31" t="inlineStr">
        <is>
          <t>SQUAT</t>
        </is>
      </c>
      <c r="I30" s="27" t="n">
        <v>5</v>
      </c>
      <c r="J30" s="27" t="inlineStr">
        <is>
          <t>4</t>
        </is>
      </c>
      <c r="K30" s="34" t="n">
        <v>0.73</v>
      </c>
      <c r="L30" s="35">
        <f>ROUND('Setup &amp; Dashboard'!$E$7*0.73/5, 0)*5</f>
        <v/>
      </c>
      <c r="M30" s="27" t="inlineStr">
        <is>
          <t>RPE 7</t>
        </is>
      </c>
      <c r="N30" s="36" t="inlineStr"/>
      <c r="O30" s="12" t="inlineStr"/>
      <c r="P30" s="14" t="inlineStr"/>
    </row>
    <row r="31" ht="22" customHeight="1">
      <c r="A31" s="37" t="n">
        <v>2</v>
      </c>
      <c r="B31" s="28" t="inlineStr">
        <is>
          <t>Accumulation</t>
        </is>
      </c>
      <c r="C31" s="38" t="n">
        <v>1</v>
      </c>
      <c r="D31" s="39" t="inlineStr">
        <is>
          <t>Monday — Squat</t>
        </is>
      </c>
      <c r="E31" s="40" t="n">
        <v>2</v>
      </c>
      <c r="F31" s="39" t="inlineStr">
        <is>
          <t>Bulgarian split squat</t>
        </is>
      </c>
      <c r="G31" s="40" t="inlineStr">
        <is>
          <t>Accessory</t>
        </is>
      </c>
      <c r="H31" s="40" t="inlineStr">
        <is>
          <t>-</t>
        </is>
      </c>
      <c r="I31" s="38" t="n">
        <v>3</v>
      </c>
      <c r="J31" s="38" t="inlineStr">
        <is>
          <t>10/leg</t>
        </is>
      </c>
      <c r="K31" s="38" t="inlineStr"/>
      <c r="L31" s="29" t="inlineStr"/>
      <c r="M31" s="40" t="inlineStr"/>
      <c r="N31" s="36" t="inlineStr"/>
      <c r="O31" s="12" t="inlineStr"/>
      <c r="P31" s="14" t="inlineStr"/>
    </row>
    <row r="32" ht="22" customHeight="1">
      <c r="A32" s="27" t="n">
        <v>2</v>
      </c>
      <c r="B32" s="28" t="inlineStr">
        <is>
          <t>Accumulation</t>
        </is>
      </c>
      <c r="C32" s="29" t="n">
        <v>1</v>
      </c>
      <c r="D32" s="30" t="inlineStr">
        <is>
          <t>Monday — Squat</t>
        </is>
      </c>
      <c r="E32" s="31" t="n">
        <v>3</v>
      </c>
      <c r="F32" s="30" t="inlineStr">
        <is>
          <t>Leg curl</t>
        </is>
      </c>
      <c r="G32" s="31" t="inlineStr">
        <is>
          <t>Accessory</t>
        </is>
      </c>
      <c r="H32" s="31" t="inlineStr">
        <is>
          <t>-</t>
        </is>
      </c>
      <c r="I32" s="29" t="n">
        <v>3</v>
      </c>
      <c r="J32" s="29" t="inlineStr">
        <is>
          <t>12</t>
        </is>
      </c>
      <c r="K32" s="29" t="inlineStr"/>
      <c r="L32" s="29" t="inlineStr"/>
      <c r="M32" s="31" t="inlineStr"/>
      <c r="N32" s="36" t="inlineStr"/>
      <c r="O32" s="12" t="inlineStr"/>
      <c r="P32" s="14" t="inlineStr"/>
    </row>
    <row r="33" ht="22" customHeight="1">
      <c r="A33" s="37" t="n">
        <v>2</v>
      </c>
      <c r="B33" s="28" t="inlineStr">
        <is>
          <t>Accumulation</t>
        </is>
      </c>
      <c r="C33" s="38" t="n">
        <v>1</v>
      </c>
      <c r="D33" s="39" t="inlineStr">
        <is>
          <t>Monday — Squat</t>
        </is>
      </c>
      <c r="E33" s="40" t="n">
        <v>4</v>
      </c>
      <c r="F33" s="39" t="inlineStr">
        <is>
          <t>Copenhagen plank</t>
        </is>
      </c>
      <c r="G33" s="40" t="inlineStr">
        <is>
          <t>Accessory</t>
        </is>
      </c>
      <c r="H33" s="40" t="inlineStr">
        <is>
          <t>-</t>
        </is>
      </c>
      <c r="I33" s="38" t="n">
        <v>3</v>
      </c>
      <c r="J33" s="38" t="inlineStr">
        <is>
          <t>20sec/side</t>
        </is>
      </c>
      <c r="K33" s="38" t="inlineStr"/>
      <c r="L33" s="29" t="inlineStr"/>
      <c r="M33" s="40" t="inlineStr"/>
      <c r="N33" s="36" t="inlineStr"/>
      <c r="O33" s="12" t="inlineStr"/>
      <c r="P33" s="14" t="inlineStr"/>
    </row>
    <row r="34" ht="22" customHeight="1">
      <c r="A34" s="27" t="n">
        <v>2</v>
      </c>
      <c r="B34" s="28" t="inlineStr">
        <is>
          <t>Accumulation</t>
        </is>
      </c>
      <c r="C34" s="29" t="n">
        <v>2</v>
      </c>
      <c r="D34" s="30" t="inlineStr">
        <is>
          <t>Tuesday — Bench</t>
        </is>
      </c>
      <c r="E34" s="31" t="n">
        <v>1</v>
      </c>
      <c r="F34" s="32" t="inlineStr">
        <is>
          <t>Bench press</t>
        </is>
      </c>
      <c r="G34" s="33" t="inlineStr">
        <is>
          <t>Main Lift</t>
        </is>
      </c>
      <c r="H34" s="31" t="inlineStr">
        <is>
          <t>BENCH</t>
        </is>
      </c>
      <c r="I34" s="27" t="n">
        <v>5</v>
      </c>
      <c r="J34" s="27" t="inlineStr">
        <is>
          <t>4</t>
        </is>
      </c>
      <c r="K34" s="34" t="n">
        <v>0.73</v>
      </c>
      <c r="L34" s="35">
        <f>ROUND('Setup &amp; Dashboard'!$E$8*0.73/5, 0)*5</f>
        <v/>
      </c>
      <c r="M34" s="27" t="inlineStr">
        <is>
          <t>RPE 7</t>
        </is>
      </c>
      <c r="N34" s="36" t="inlineStr"/>
      <c r="O34" s="12" t="inlineStr"/>
      <c r="P34" s="14" t="inlineStr"/>
    </row>
    <row r="35" ht="22" customHeight="1">
      <c r="A35" s="37" t="n">
        <v>2</v>
      </c>
      <c r="B35" s="28" t="inlineStr">
        <is>
          <t>Accumulation</t>
        </is>
      </c>
      <c r="C35" s="38" t="n">
        <v>2</v>
      </c>
      <c r="D35" s="39" t="inlineStr">
        <is>
          <t>Tuesday — Bench</t>
        </is>
      </c>
      <c r="E35" s="40" t="n">
        <v>2</v>
      </c>
      <c r="F35" s="39" t="inlineStr">
        <is>
          <t>Close-grip bench</t>
        </is>
      </c>
      <c r="G35" s="40" t="inlineStr">
        <is>
          <t>Accessory</t>
        </is>
      </c>
      <c r="H35" s="40" t="inlineStr">
        <is>
          <t>-</t>
        </is>
      </c>
      <c r="I35" s="38" t="n">
        <v>3</v>
      </c>
      <c r="J35" s="38" t="inlineStr">
        <is>
          <t>6</t>
        </is>
      </c>
      <c r="K35" s="38" t="inlineStr"/>
      <c r="L35" s="29" t="inlineStr"/>
      <c r="M35" s="40" t="inlineStr"/>
      <c r="N35" s="36" t="inlineStr"/>
      <c r="O35" s="12" t="inlineStr"/>
      <c r="P35" s="14" t="inlineStr"/>
    </row>
    <row r="36" ht="22" customHeight="1">
      <c r="A36" s="27" t="n">
        <v>2</v>
      </c>
      <c r="B36" s="28" t="inlineStr">
        <is>
          <t>Accumulation</t>
        </is>
      </c>
      <c r="C36" s="29" t="n">
        <v>2</v>
      </c>
      <c r="D36" s="30" t="inlineStr">
        <is>
          <t>Tuesday — Bench</t>
        </is>
      </c>
      <c r="E36" s="31" t="n">
        <v>3</v>
      </c>
      <c r="F36" s="30" t="inlineStr">
        <is>
          <t>Incline DB press</t>
        </is>
      </c>
      <c r="G36" s="31" t="inlineStr">
        <is>
          <t>Accessory</t>
        </is>
      </c>
      <c r="H36" s="31" t="inlineStr">
        <is>
          <t>-</t>
        </is>
      </c>
      <c r="I36" s="29" t="n">
        <v>3</v>
      </c>
      <c r="J36" s="29" t="inlineStr">
        <is>
          <t>12</t>
        </is>
      </c>
      <c r="K36" s="29" t="inlineStr"/>
      <c r="L36" s="29" t="inlineStr"/>
      <c r="M36" s="31" t="inlineStr"/>
      <c r="N36" s="36" t="inlineStr"/>
      <c r="O36" s="12" t="inlineStr"/>
      <c r="P36" s="14" t="inlineStr"/>
    </row>
    <row r="37" ht="22" customHeight="1">
      <c r="A37" s="37" t="n">
        <v>2</v>
      </c>
      <c r="B37" s="28" t="inlineStr">
        <is>
          <t>Accumulation</t>
        </is>
      </c>
      <c r="C37" s="38" t="n">
        <v>2</v>
      </c>
      <c r="D37" s="39" t="inlineStr">
        <is>
          <t>Tuesday — Bench</t>
        </is>
      </c>
      <c r="E37" s="40" t="n">
        <v>4</v>
      </c>
      <c r="F37" s="39" t="inlineStr">
        <is>
          <t>Triceps pressdown</t>
        </is>
      </c>
      <c r="G37" s="40" t="inlineStr">
        <is>
          <t>Accessory</t>
        </is>
      </c>
      <c r="H37" s="40" t="inlineStr">
        <is>
          <t>-</t>
        </is>
      </c>
      <c r="I37" s="38" t="n">
        <v>3</v>
      </c>
      <c r="J37" s="38" t="inlineStr">
        <is>
          <t>12</t>
        </is>
      </c>
      <c r="K37" s="38" t="inlineStr"/>
      <c r="L37" s="29" t="inlineStr"/>
      <c r="M37" s="40" t="inlineStr"/>
      <c r="N37" s="36" t="inlineStr"/>
      <c r="O37" s="12" t="inlineStr"/>
      <c r="P37" s="14" t="inlineStr"/>
    </row>
    <row r="38" ht="22" customHeight="1">
      <c r="A38" s="27" t="n">
        <v>2</v>
      </c>
      <c r="B38" s="28" t="inlineStr">
        <is>
          <t>Accumulation</t>
        </is>
      </c>
      <c r="C38" s="29" t="n">
        <v>2</v>
      </c>
      <c r="D38" s="30" t="inlineStr">
        <is>
          <t>Tuesday — Bench</t>
        </is>
      </c>
      <c r="E38" s="31" t="n">
        <v>5</v>
      </c>
      <c r="F38" s="30" t="inlineStr">
        <is>
          <t>Face pull</t>
        </is>
      </c>
      <c r="G38" s="31" t="inlineStr">
        <is>
          <t>Accessory</t>
        </is>
      </c>
      <c r="H38" s="31" t="inlineStr">
        <is>
          <t>-</t>
        </is>
      </c>
      <c r="I38" s="29" t="n">
        <v>3</v>
      </c>
      <c r="J38" s="29" t="inlineStr">
        <is>
          <t>15</t>
        </is>
      </c>
      <c r="K38" s="29" t="inlineStr"/>
      <c r="L38" s="29" t="inlineStr"/>
      <c r="M38" s="31" t="inlineStr"/>
      <c r="N38" s="36" t="inlineStr"/>
      <c r="O38" s="12" t="inlineStr"/>
      <c r="P38" s="14" t="inlineStr"/>
    </row>
    <row r="39" ht="22" customHeight="1">
      <c r="A39" s="27" t="n">
        <v>2</v>
      </c>
      <c r="B39" s="28" t="inlineStr">
        <is>
          <t>Accumulation</t>
        </is>
      </c>
      <c r="C39" s="29" t="n">
        <v>3</v>
      </c>
      <c r="D39" s="30" t="inlineStr">
        <is>
          <t>Thursday — Deadlift</t>
        </is>
      </c>
      <c r="E39" s="31" t="n">
        <v>1</v>
      </c>
      <c r="F39" s="32" t="inlineStr">
        <is>
          <t>Deadlift</t>
        </is>
      </c>
      <c r="G39" s="33" t="inlineStr">
        <is>
          <t>Main Lift</t>
        </is>
      </c>
      <c r="H39" s="31" t="inlineStr">
        <is>
          <t>DEADLIFT</t>
        </is>
      </c>
      <c r="I39" s="27" t="n">
        <v>3</v>
      </c>
      <c r="J39" s="27" t="inlineStr">
        <is>
          <t>4</t>
        </is>
      </c>
      <c r="K39" s="34" t="n">
        <v>0.72</v>
      </c>
      <c r="L39" s="35">
        <f>ROUND('Setup &amp; Dashboard'!$E$9*0.72/5, 0)*5</f>
        <v/>
      </c>
      <c r="M39" s="27" t="inlineStr">
        <is>
          <t>RPE 7</t>
        </is>
      </c>
      <c r="N39" s="36" t="inlineStr"/>
      <c r="O39" s="12" t="inlineStr"/>
      <c r="P39" s="14" t="inlineStr"/>
    </row>
    <row r="40" ht="22" customHeight="1">
      <c r="A40" s="27" t="n">
        <v>2</v>
      </c>
      <c r="B40" s="28" t="inlineStr">
        <is>
          <t>Accumulation</t>
        </is>
      </c>
      <c r="C40" s="29" t="n">
        <v>3</v>
      </c>
      <c r="D40" s="30" t="inlineStr">
        <is>
          <t>Thursday — Deadlift</t>
        </is>
      </c>
      <c r="E40" s="31" t="n">
        <v>2</v>
      </c>
      <c r="F40" s="30" t="inlineStr">
        <is>
          <t>Paused deadlift</t>
        </is>
      </c>
      <c r="G40" s="31" t="inlineStr">
        <is>
          <t>Accessory</t>
        </is>
      </c>
      <c r="H40" s="31" t="inlineStr">
        <is>
          <t>DEADLIFT</t>
        </is>
      </c>
      <c r="I40" s="29" t="n">
        <v>2</v>
      </c>
      <c r="J40" s="29" t="inlineStr">
        <is>
          <t>3</t>
        </is>
      </c>
      <c r="K40" s="43" t="n">
        <v>0.58</v>
      </c>
      <c r="L40" s="35">
        <f>ROUND('Setup &amp; Dashboard'!$E$9*0.58/5, 0)*5</f>
        <v/>
      </c>
      <c r="M40" s="31" t="inlineStr"/>
      <c r="N40" s="36" t="inlineStr"/>
      <c r="O40" s="12" t="inlineStr"/>
      <c r="P40" s="14" t="inlineStr"/>
    </row>
    <row r="41" ht="22" customHeight="1">
      <c r="A41" s="37" t="n">
        <v>2</v>
      </c>
      <c r="B41" s="28" t="inlineStr">
        <is>
          <t>Accumulation</t>
        </is>
      </c>
      <c r="C41" s="38" t="n">
        <v>3</v>
      </c>
      <c r="D41" s="39" t="inlineStr">
        <is>
          <t>Thursday — Deadlift</t>
        </is>
      </c>
      <c r="E41" s="40" t="n">
        <v>3</v>
      </c>
      <c r="F41" s="39" t="inlineStr">
        <is>
          <t>Farmer's carry</t>
        </is>
      </c>
      <c r="G41" s="40" t="inlineStr">
        <is>
          <t>Accessory</t>
        </is>
      </c>
      <c r="H41" s="40" t="inlineStr">
        <is>
          <t>-</t>
        </is>
      </c>
      <c r="I41" s="38" t="n">
        <v>3</v>
      </c>
      <c r="J41" s="38" t="inlineStr">
        <is>
          <t>30-40m</t>
        </is>
      </c>
      <c r="K41" s="38" t="inlineStr"/>
      <c r="L41" s="29" t="inlineStr"/>
      <c r="M41" s="40" t="inlineStr"/>
      <c r="N41" s="36" t="inlineStr"/>
      <c r="O41" s="12" t="inlineStr"/>
      <c r="P41" s="14" t="inlineStr"/>
    </row>
    <row r="42" ht="22" customHeight="1">
      <c r="A42" s="27" t="n">
        <v>2</v>
      </c>
      <c r="B42" s="28" t="inlineStr">
        <is>
          <t>Accumulation</t>
        </is>
      </c>
      <c r="C42" s="29" t="n">
        <v>3</v>
      </c>
      <c r="D42" s="30" t="inlineStr">
        <is>
          <t>Thursday — Deadlift</t>
        </is>
      </c>
      <c r="E42" s="31" t="n">
        <v>4</v>
      </c>
      <c r="F42" s="30" t="inlineStr">
        <is>
          <t>Reverse hyper</t>
        </is>
      </c>
      <c r="G42" s="31" t="inlineStr">
        <is>
          <t>Accessory</t>
        </is>
      </c>
      <c r="H42" s="31" t="inlineStr">
        <is>
          <t>-</t>
        </is>
      </c>
      <c r="I42" s="29" t="n">
        <v>2</v>
      </c>
      <c r="J42" s="29" t="inlineStr">
        <is>
          <t>15</t>
        </is>
      </c>
      <c r="K42" s="29" t="inlineStr"/>
      <c r="L42" s="29" t="inlineStr"/>
      <c r="M42" s="31" t="inlineStr"/>
      <c r="N42" s="36" t="inlineStr"/>
      <c r="O42" s="12" t="inlineStr"/>
      <c r="P42" s="14" t="inlineStr"/>
    </row>
    <row r="43" ht="22" customHeight="1">
      <c r="A43" s="37" t="n">
        <v>2</v>
      </c>
      <c r="B43" s="28" t="inlineStr">
        <is>
          <t>Accumulation</t>
        </is>
      </c>
      <c r="C43" s="38" t="n">
        <v>3</v>
      </c>
      <c r="D43" s="39" t="inlineStr">
        <is>
          <t>Thursday — Deadlift</t>
        </is>
      </c>
      <c r="E43" s="40" t="n">
        <v>5</v>
      </c>
      <c r="F43" s="39" t="inlineStr">
        <is>
          <t>Jefferson curl</t>
        </is>
      </c>
      <c r="G43" s="40" t="inlineStr">
        <is>
          <t>Accessory</t>
        </is>
      </c>
      <c r="H43" s="40" t="inlineStr">
        <is>
          <t>-</t>
        </is>
      </c>
      <c r="I43" s="38" t="n">
        <v>2</v>
      </c>
      <c r="J43" s="38" t="inlineStr">
        <is>
          <t>8</t>
        </is>
      </c>
      <c r="K43" s="38" t="inlineStr"/>
      <c r="L43" s="29" t="inlineStr"/>
      <c r="M43" s="40" t="inlineStr"/>
      <c r="N43" s="36" t="inlineStr"/>
      <c r="O43" s="12" t="inlineStr"/>
      <c r="P43" s="14" t="inlineStr"/>
    </row>
    <row r="44" ht="22" customHeight="1">
      <c r="A44" s="27" t="n">
        <v>2</v>
      </c>
      <c r="B44" s="28" t="inlineStr">
        <is>
          <t>Accumulation</t>
        </is>
      </c>
      <c r="C44" s="29" t="n">
        <v>4</v>
      </c>
      <c r="D44" s="30" t="inlineStr">
        <is>
          <t>Friday — Bench variant / upper body</t>
        </is>
      </c>
      <c r="E44" s="31" t="n">
        <v>1</v>
      </c>
      <c r="F44" s="32" t="inlineStr">
        <is>
          <t>Paused bench</t>
        </is>
      </c>
      <c r="G44" s="33" t="inlineStr">
        <is>
          <t>Main Lift</t>
        </is>
      </c>
      <c r="H44" s="31" t="inlineStr">
        <is>
          <t>BENCH</t>
        </is>
      </c>
      <c r="I44" s="27" t="n">
        <v>4</v>
      </c>
      <c r="J44" s="27" t="inlineStr">
        <is>
          <t>3</t>
        </is>
      </c>
      <c r="K44" s="34" t="n">
        <v>0.7</v>
      </c>
      <c r="L44" s="35">
        <f>ROUND('Setup &amp; Dashboard'!$E$8*0.7/5, 0)*5</f>
        <v/>
      </c>
      <c r="M44" s="27" t="inlineStr">
        <is>
          <t>RPE 7</t>
        </is>
      </c>
      <c r="N44" s="36" t="inlineStr"/>
      <c r="O44" s="12" t="inlineStr"/>
      <c r="P44" s="14" t="inlineStr"/>
    </row>
    <row r="45" ht="22" customHeight="1">
      <c r="A45" s="37" t="n">
        <v>2</v>
      </c>
      <c r="B45" s="28" t="inlineStr">
        <is>
          <t>Accumulation</t>
        </is>
      </c>
      <c r="C45" s="38" t="n">
        <v>4</v>
      </c>
      <c r="D45" s="39" t="inlineStr">
        <is>
          <t>Friday — Bench variant / upper body</t>
        </is>
      </c>
      <c r="E45" s="40" t="n">
        <v>2</v>
      </c>
      <c r="F45" s="39" t="inlineStr">
        <is>
          <t>Chest-supported row</t>
        </is>
      </c>
      <c r="G45" s="40" t="inlineStr">
        <is>
          <t>Accessory</t>
        </is>
      </c>
      <c r="H45" s="40" t="inlineStr">
        <is>
          <t>-</t>
        </is>
      </c>
      <c r="I45" s="38" t="n">
        <v>4</v>
      </c>
      <c r="J45" s="38" t="inlineStr">
        <is>
          <t>10</t>
        </is>
      </c>
      <c r="K45" s="38" t="inlineStr"/>
      <c r="L45" s="29" t="inlineStr"/>
      <c r="M45" s="40" t="inlineStr"/>
      <c r="N45" s="36" t="inlineStr"/>
      <c r="O45" s="12" t="inlineStr"/>
      <c r="P45" s="14" t="inlineStr"/>
    </row>
    <row r="46" ht="22" customHeight="1">
      <c r="A46" s="27" t="n">
        <v>2</v>
      </c>
      <c r="B46" s="28" t="inlineStr">
        <is>
          <t>Accumulation</t>
        </is>
      </c>
      <c r="C46" s="29" t="n">
        <v>4</v>
      </c>
      <c r="D46" s="30" t="inlineStr">
        <is>
          <t>Friday — Bench variant / upper body</t>
        </is>
      </c>
      <c r="E46" s="31" t="n">
        <v>3</v>
      </c>
      <c r="F46" s="30" t="inlineStr">
        <is>
          <t>Lat pulldown</t>
        </is>
      </c>
      <c r="G46" s="31" t="inlineStr">
        <is>
          <t>Accessory</t>
        </is>
      </c>
      <c r="H46" s="31" t="inlineStr">
        <is>
          <t>-</t>
        </is>
      </c>
      <c r="I46" s="29" t="n">
        <v>3</v>
      </c>
      <c r="J46" s="29" t="inlineStr">
        <is>
          <t>12</t>
        </is>
      </c>
      <c r="K46" s="29" t="inlineStr"/>
      <c r="L46" s="29" t="inlineStr"/>
      <c r="M46" s="31" t="inlineStr"/>
      <c r="N46" s="36" t="inlineStr"/>
      <c r="O46" s="12" t="inlineStr"/>
      <c r="P46" s="14" t="inlineStr"/>
    </row>
    <row r="47" ht="22" customHeight="1">
      <c r="A47" s="37" t="n">
        <v>2</v>
      </c>
      <c r="B47" s="28" t="inlineStr">
        <is>
          <t>Accumulation</t>
        </is>
      </c>
      <c r="C47" s="38" t="n">
        <v>4</v>
      </c>
      <c r="D47" s="39" t="inlineStr">
        <is>
          <t>Friday — Bench variant / upper body</t>
        </is>
      </c>
      <c r="E47" s="40" t="n">
        <v>4</v>
      </c>
      <c r="F47" s="39" t="inlineStr">
        <is>
          <t>Lateral raise</t>
        </is>
      </c>
      <c r="G47" s="40" t="inlineStr">
        <is>
          <t>Accessory</t>
        </is>
      </c>
      <c r="H47" s="40" t="inlineStr">
        <is>
          <t>-</t>
        </is>
      </c>
      <c r="I47" s="38" t="n">
        <v>3</v>
      </c>
      <c r="J47" s="38" t="inlineStr">
        <is>
          <t>15</t>
        </is>
      </c>
      <c r="K47" s="38" t="inlineStr"/>
      <c r="L47" s="29" t="inlineStr"/>
      <c r="M47" s="40" t="inlineStr"/>
      <c r="N47" s="36" t="inlineStr"/>
      <c r="O47" s="12" t="inlineStr"/>
      <c r="P47" s="14" t="inlineStr"/>
    </row>
    <row r="48" ht="22" customHeight="1">
      <c r="A48" s="27" t="n">
        <v>2</v>
      </c>
      <c r="B48" s="28" t="inlineStr">
        <is>
          <t>Accumulation</t>
        </is>
      </c>
      <c r="C48" s="29" t="n">
        <v>4</v>
      </c>
      <c r="D48" s="30" t="inlineStr">
        <is>
          <t>Friday — Bench variant / upper body</t>
        </is>
      </c>
      <c r="E48" s="31" t="n">
        <v>5</v>
      </c>
      <c r="F48" s="30" t="inlineStr">
        <is>
          <t>Curl</t>
        </is>
      </c>
      <c r="G48" s="31" t="inlineStr">
        <is>
          <t>Accessory</t>
        </is>
      </c>
      <c r="H48" s="31" t="inlineStr">
        <is>
          <t>-</t>
        </is>
      </c>
      <c r="I48" s="29" t="n">
        <v>3</v>
      </c>
      <c r="J48" s="29" t="inlineStr">
        <is>
          <t>12</t>
        </is>
      </c>
      <c r="K48" s="29" t="inlineStr"/>
      <c r="L48" s="29" t="inlineStr"/>
      <c r="M48" s="31" t="inlineStr"/>
      <c r="N48" s="36" t="inlineStr"/>
      <c r="O48" s="12" t="inlineStr"/>
      <c r="P48" s="14" t="inlineStr"/>
    </row>
    <row r="49" ht="22" customHeight="1">
      <c r="A49" s="37" t="n">
        <v>2</v>
      </c>
      <c r="B49" s="28" t="inlineStr">
        <is>
          <t>Accumulation</t>
        </is>
      </c>
      <c r="C49" s="38" t="n">
        <v>4</v>
      </c>
      <c r="D49" s="39" t="inlineStr">
        <is>
          <t>Friday — Bench variant / upper body</t>
        </is>
      </c>
      <c r="E49" s="40" t="n">
        <v>6</v>
      </c>
      <c r="F49" s="39" t="inlineStr">
        <is>
          <t>Pallof press</t>
        </is>
      </c>
      <c r="G49" s="40" t="inlineStr">
        <is>
          <t>Accessory</t>
        </is>
      </c>
      <c r="H49" s="40" t="inlineStr">
        <is>
          <t>-</t>
        </is>
      </c>
      <c r="I49" s="38" t="n">
        <v>3</v>
      </c>
      <c r="J49" s="38" t="inlineStr">
        <is>
          <t>10/side</t>
        </is>
      </c>
      <c r="K49" s="38" t="inlineStr"/>
      <c r="L49" s="29" t="inlineStr"/>
      <c r="M49" s="40" t="inlineStr"/>
      <c r="N49" s="36" t="inlineStr"/>
      <c r="O49" s="12" t="inlineStr"/>
      <c r="P49" s="14" t="inlineStr"/>
    </row>
    <row r="50" ht="22" customHeight="1">
      <c r="A50" s="27" t="n">
        <v>2</v>
      </c>
      <c r="B50" s="28" t="inlineStr">
        <is>
          <t>Accumulation</t>
        </is>
      </c>
      <c r="C50" s="29" t="n">
        <v>5</v>
      </c>
      <c r="D50" s="30" t="inlineStr">
        <is>
          <t>Saturday — Squat variant + Rack Pull</t>
        </is>
      </c>
      <c r="E50" s="31" t="n">
        <v>1</v>
      </c>
      <c r="F50" s="32" t="inlineStr">
        <is>
          <t>High bar squat</t>
        </is>
      </c>
      <c r="G50" s="33" t="inlineStr">
        <is>
          <t>Main Lift</t>
        </is>
      </c>
      <c r="H50" s="31" t="inlineStr">
        <is>
          <t>SQUAT</t>
        </is>
      </c>
      <c r="I50" s="27" t="n">
        <v>3</v>
      </c>
      <c r="J50" s="27" t="inlineStr">
        <is>
          <t>5</t>
        </is>
      </c>
      <c r="K50" s="34" t="n">
        <v>0.65</v>
      </c>
      <c r="L50" s="35">
        <f>ROUND('Setup &amp; Dashboard'!$E$7*0.65/5, 0)*5</f>
        <v/>
      </c>
      <c r="M50" s="27" t="inlineStr">
        <is>
          <t>RPE 7</t>
        </is>
      </c>
      <c r="N50" s="36" t="inlineStr"/>
      <c r="O50" s="12" t="inlineStr"/>
      <c r="P50" s="14" t="inlineStr"/>
    </row>
    <row r="51" ht="22" customHeight="1">
      <c r="A51" s="27" t="n">
        <v>2</v>
      </c>
      <c r="B51" s="28" t="inlineStr">
        <is>
          <t>Accumulation</t>
        </is>
      </c>
      <c r="C51" s="29" t="n">
        <v>5</v>
      </c>
      <c r="D51" s="30" t="inlineStr">
        <is>
          <t>Saturday — Squat variant + Rack Pull</t>
        </is>
      </c>
      <c r="E51" s="31" t="n">
        <v>2</v>
      </c>
      <c r="F51" s="32" t="inlineStr">
        <is>
          <t>Rack pull</t>
        </is>
      </c>
      <c r="G51" s="33" t="inlineStr">
        <is>
          <t>Main Lift</t>
        </is>
      </c>
      <c r="H51" s="31" t="inlineStr">
        <is>
          <t>RACKPULL</t>
        </is>
      </c>
      <c r="I51" s="27" t="n">
        <v>4</v>
      </c>
      <c r="J51" s="27" t="inlineStr">
        <is>
          <t>4</t>
        </is>
      </c>
      <c r="K51" s="34" t="n">
        <v>0.7</v>
      </c>
      <c r="L51" s="35">
        <f>ROUND('Setup &amp; Dashboard'!$E$10*0.7/5, 0)*5</f>
        <v/>
      </c>
      <c r="M51" s="27" t="inlineStr">
        <is>
          <t>RPE 7</t>
        </is>
      </c>
      <c r="N51" s="36" t="inlineStr"/>
      <c r="O51" s="12" t="inlineStr"/>
      <c r="P51" s="14" t="inlineStr"/>
    </row>
    <row r="52" ht="22" customHeight="1">
      <c r="A52" s="27" t="n">
        <v>2</v>
      </c>
      <c r="B52" s="28" t="inlineStr">
        <is>
          <t>Accumulation</t>
        </is>
      </c>
      <c r="C52" s="29" t="n">
        <v>5</v>
      </c>
      <c r="D52" s="30" t="inlineStr">
        <is>
          <t>Saturday — Squat variant + Rack Pull</t>
        </is>
      </c>
      <c r="E52" s="31" t="n">
        <v>3</v>
      </c>
      <c r="F52" s="30" t="inlineStr">
        <is>
          <t>Reverse hyper</t>
        </is>
      </c>
      <c r="G52" s="31" t="inlineStr">
        <is>
          <t>Accessory</t>
        </is>
      </c>
      <c r="H52" s="31" t="inlineStr">
        <is>
          <t>-</t>
        </is>
      </c>
      <c r="I52" s="29" t="n">
        <v>2</v>
      </c>
      <c r="J52" s="29" t="inlineStr">
        <is>
          <t>12</t>
        </is>
      </c>
      <c r="K52" s="29" t="inlineStr"/>
      <c r="L52" s="29" t="inlineStr"/>
      <c r="M52" s="31" t="inlineStr"/>
      <c r="N52" s="36" t="inlineStr"/>
      <c r="O52" s="12" t="inlineStr"/>
      <c r="P52" s="14" t="inlineStr"/>
    </row>
    <row r="53" ht="22" customHeight="1">
      <c r="A53" s="37" t="n">
        <v>2</v>
      </c>
      <c r="B53" s="28" t="inlineStr">
        <is>
          <t>Accumulation</t>
        </is>
      </c>
      <c r="C53" s="38" t="n">
        <v>5</v>
      </c>
      <c r="D53" s="39" t="inlineStr">
        <is>
          <t>Saturday — Squat variant + Rack Pull</t>
        </is>
      </c>
      <c r="E53" s="40" t="n">
        <v>4</v>
      </c>
      <c r="F53" s="39" t="inlineStr">
        <is>
          <t>GHR or Nordic curl</t>
        </is>
      </c>
      <c r="G53" s="40" t="inlineStr">
        <is>
          <t>Accessory</t>
        </is>
      </c>
      <c r="H53" s="40" t="inlineStr">
        <is>
          <t>-</t>
        </is>
      </c>
      <c r="I53" s="38" t="n">
        <v>3</v>
      </c>
      <c r="J53" s="38" t="inlineStr">
        <is>
          <t>8</t>
        </is>
      </c>
      <c r="K53" s="38" t="inlineStr"/>
      <c r="L53" s="29" t="inlineStr"/>
      <c r="M53" s="40" t="inlineStr"/>
      <c r="N53" s="36" t="inlineStr"/>
      <c r="O53" s="12" t="inlineStr"/>
      <c r="P53" s="14" t="inlineStr"/>
    </row>
    <row r="54" ht="22" customHeight="1">
      <c r="A54" s="27" t="n">
        <v>3</v>
      </c>
      <c r="B54" s="28" t="inlineStr">
        <is>
          <t>Accumulation</t>
        </is>
      </c>
      <c r="C54" s="29" t="n">
        <v>1</v>
      </c>
      <c r="D54" s="30" t="inlineStr">
        <is>
          <t>Monday — Squat</t>
        </is>
      </c>
      <c r="E54" s="31" t="n">
        <v>1</v>
      </c>
      <c r="F54" s="32" t="inlineStr">
        <is>
          <t>Squat</t>
        </is>
      </c>
      <c r="G54" s="33" t="inlineStr">
        <is>
          <t>Main Lift</t>
        </is>
      </c>
      <c r="H54" s="31" t="inlineStr">
        <is>
          <t>SQUAT</t>
        </is>
      </c>
      <c r="I54" s="27" t="n">
        <v>6</v>
      </c>
      <c r="J54" s="27" t="inlineStr">
        <is>
          <t>3</t>
        </is>
      </c>
      <c r="K54" s="34" t="n">
        <v>0.77</v>
      </c>
      <c r="L54" s="35">
        <f>ROUND('Setup &amp; Dashboard'!$E$7*0.77/5, 0)*5</f>
        <v/>
      </c>
      <c r="M54" s="27" t="inlineStr">
        <is>
          <t>RPE 7-8</t>
        </is>
      </c>
      <c r="N54" s="36" t="inlineStr"/>
      <c r="O54" s="12" t="inlineStr"/>
      <c r="P54" s="14" t="inlineStr"/>
    </row>
    <row r="55" ht="22" customHeight="1">
      <c r="A55" s="37" t="n">
        <v>3</v>
      </c>
      <c r="B55" s="28" t="inlineStr">
        <is>
          <t>Accumulation</t>
        </is>
      </c>
      <c r="C55" s="38" t="n">
        <v>1</v>
      </c>
      <c r="D55" s="39" t="inlineStr">
        <is>
          <t>Monday — Squat</t>
        </is>
      </c>
      <c r="E55" s="40" t="n">
        <v>2</v>
      </c>
      <c r="F55" s="39" t="inlineStr">
        <is>
          <t>Bulgarian split squat</t>
        </is>
      </c>
      <c r="G55" s="40" t="inlineStr">
        <is>
          <t>Accessory</t>
        </is>
      </c>
      <c r="H55" s="40" t="inlineStr">
        <is>
          <t>-</t>
        </is>
      </c>
      <c r="I55" s="38" t="n">
        <v>3</v>
      </c>
      <c r="J55" s="38" t="inlineStr">
        <is>
          <t>8-10/leg</t>
        </is>
      </c>
      <c r="K55" s="38" t="inlineStr"/>
      <c r="L55" s="29" t="inlineStr"/>
      <c r="M55" s="40" t="inlineStr"/>
      <c r="N55" s="36" t="inlineStr"/>
      <c r="O55" s="12" t="inlineStr"/>
      <c r="P55" s="14" t="inlineStr"/>
    </row>
    <row r="56" ht="22" customHeight="1">
      <c r="A56" s="27" t="n">
        <v>3</v>
      </c>
      <c r="B56" s="28" t="inlineStr">
        <is>
          <t>Accumulation</t>
        </is>
      </c>
      <c r="C56" s="29" t="n">
        <v>1</v>
      </c>
      <c r="D56" s="30" t="inlineStr">
        <is>
          <t>Monday — Squat</t>
        </is>
      </c>
      <c r="E56" s="31" t="n">
        <v>3</v>
      </c>
      <c r="F56" s="30" t="inlineStr">
        <is>
          <t>Leg curl</t>
        </is>
      </c>
      <c r="G56" s="31" t="inlineStr">
        <is>
          <t>Accessory</t>
        </is>
      </c>
      <c r="H56" s="31" t="inlineStr">
        <is>
          <t>-</t>
        </is>
      </c>
      <c r="I56" s="29" t="n">
        <v>3</v>
      </c>
      <c r="J56" s="29" t="inlineStr">
        <is>
          <t>12</t>
        </is>
      </c>
      <c r="K56" s="29" t="inlineStr"/>
      <c r="L56" s="29" t="inlineStr"/>
      <c r="M56" s="31" t="inlineStr"/>
      <c r="N56" s="36" t="inlineStr"/>
      <c r="O56" s="12" t="inlineStr"/>
      <c r="P56" s="14" t="inlineStr"/>
    </row>
    <row r="57" ht="22" customHeight="1">
      <c r="A57" s="37" t="n">
        <v>3</v>
      </c>
      <c r="B57" s="28" t="inlineStr">
        <is>
          <t>Accumulation</t>
        </is>
      </c>
      <c r="C57" s="38" t="n">
        <v>1</v>
      </c>
      <c r="D57" s="39" t="inlineStr">
        <is>
          <t>Monday — Squat</t>
        </is>
      </c>
      <c r="E57" s="40" t="n">
        <v>4</v>
      </c>
      <c r="F57" s="39" t="inlineStr">
        <is>
          <t>Copenhagen plank</t>
        </is>
      </c>
      <c r="G57" s="40" t="inlineStr">
        <is>
          <t>Accessory</t>
        </is>
      </c>
      <c r="H57" s="40" t="inlineStr">
        <is>
          <t>-</t>
        </is>
      </c>
      <c r="I57" s="38" t="n">
        <v>3</v>
      </c>
      <c r="J57" s="38" t="inlineStr">
        <is>
          <t>30sec/side</t>
        </is>
      </c>
      <c r="K57" s="38" t="inlineStr"/>
      <c r="L57" s="29" t="inlineStr"/>
      <c r="M57" s="40" t="inlineStr"/>
      <c r="N57" s="36" t="inlineStr"/>
      <c r="O57" s="12" t="inlineStr"/>
      <c r="P57" s="14" t="inlineStr"/>
    </row>
    <row r="58" ht="22" customHeight="1">
      <c r="A58" s="27" t="n">
        <v>3</v>
      </c>
      <c r="B58" s="28" t="inlineStr">
        <is>
          <t>Accumulation</t>
        </is>
      </c>
      <c r="C58" s="29" t="n">
        <v>2</v>
      </c>
      <c r="D58" s="30" t="inlineStr">
        <is>
          <t>Tuesday — Bench</t>
        </is>
      </c>
      <c r="E58" s="31" t="n">
        <v>1</v>
      </c>
      <c r="F58" s="32" t="inlineStr">
        <is>
          <t>Bench</t>
        </is>
      </c>
      <c r="G58" s="33" t="inlineStr">
        <is>
          <t>Main Lift</t>
        </is>
      </c>
      <c r="H58" s="31" t="inlineStr">
        <is>
          <t>BENCH</t>
        </is>
      </c>
      <c r="I58" s="27" t="n">
        <v>5</v>
      </c>
      <c r="J58" s="27" t="inlineStr">
        <is>
          <t>4</t>
        </is>
      </c>
      <c r="K58" s="34" t="n">
        <v>0.76</v>
      </c>
      <c r="L58" s="35">
        <f>ROUND('Setup &amp; Dashboard'!$E$8*0.76/5, 0)*5</f>
        <v/>
      </c>
      <c r="M58" s="27" t="inlineStr">
        <is>
          <t>RPE 7-8</t>
        </is>
      </c>
      <c r="N58" s="36" t="inlineStr"/>
      <c r="O58" s="12" t="inlineStr"/>
      <c r="P58" s="14" t="inlineStr"/>
    </row>
    <row r="59" ht="22" customHeight="1">
      <c r="A59" s="37" t="n">
        <v>3</v>
      </c>
      <c r="B59" s="28" t="inlineStr">
        <is>
          <t>Accumulation</t>
        </is>
      </c>
      <c r="C59" s="38" t="n">
        <v>2</v>
      </c>
      <c r="D59" s="39" t="inlineStr">
        <is>
          <t>Tuesday — Bench</t>
        </is>
      </c>
      <c r="E59" s="40" t="n">
        <v>2</v>
      </c>
      <c r="F59" s="39" t="inlineStr">
        <is>
          <t>Close-grip bench</t>
        </is>
      </c>
      <c r="G59" s="40" t="inlineStr">
        <is>
          <t>Accessory</t>
        </is>
      </c>
      <c r="H59" s="40" t="inlineStr">
        <is>
          <t>-</t>
        </is>
      </c>
      <c r="I59" s="38" t="n">
        <v>3</v>
      </c>
      <c r="J59" s="38" t="inlineStr">
        <is>
          <t>5</t>
        </is>
      </c>
      <c r="K59" s="38" t="inlineStr"/>
      <c r="L59" s="29" t="inlineStr"/>
      <c r="M59" s="40" t="inlineStr"/>
      <c r="N59" s="36" t="inlineStr"/>
      <c r="O59" s="12" t="inlineStr"/>
      <c r="P59" s="14" t="inlineStr"/>
    </row>
    <row r="60" ht="22" customHeight="1">
      <c r="A60" s="27" t="n">
        <v>3</v>
      </c>
      <c r="B60" s="28" t="inlineStr">
        <is>
          <t>Accumulation</t>
        </is>
      </c>
      <c r="C60" s="29" t="n">
        <v>2</v>
      </c>
      <c r="D60" s="30" t="inlineStr">
        <is>
          <t>Tuesday — Bench</t>
        </is>
      </c>
      <c r="E60" s="31" t="n">
        <v>3</v>
      </c>
      <c r="F60" s="30" t="inlineStr">
        <is>
          <t>Incline DB press</t>
        </is>
      </c>
      <c r="G60" s="31" t="inlineStr">
        <is>
          <t>Accessory</t>
        </is>
      </c>
      <c r="H60" s="31" t="inlineStr">
        <is>
          <t>-</t>
        </is>
      </c>
      <c r="I60" s="29" t="n">
        <v>3</v>
      </c>
      <c r="J60" s="29" t="inlineStr">
        <is>
          <t>10-12</t>
        </is>
      </c>
      <c r="K60" s="29" t="inlineStr"/>
      <c r="L60" s="29" t="inlineStr"/>
      <c r="M60" s="31" t="inlineStr"/>
      <c r="N60" s="36" t="inlineStr"/>
      <c r="O60" s="12" t="inlineStr"/>
      <c r="P60" s="14" t="inlineStr"/>
    </row>
    <row r="61" ht="22" customHeight="1">
      <c r="A61" s="37" t="n">
        <v>3</v>
      </c>
      <c r="B61" s="28" t="inlineStr">
        <is>
          <t>Accumulation</t>
        </is>
      </c>
      <c r="C61" s="38" t="n">
        <v>2</v>
      </c>
      <c r="D61" s="39" t="inlineStr">
        <is>
          <t>Tuesday — Bench</t>
        </is>
      </c>
      <c r="E61" s="40" t="n">
        <v>4</v>
      </c>
      <c r="F61" s="39" t="inlineStr">
        <is>
          <t>Triceps pressdown</t>
        </is>
      </c>
      <c r="G61" s="40" t="inlineStr">
        <is>
          <t>Accessory</t>
        </is>
      </c>
      <c r="H61" s="40" t="inlineStr">
        <is>
          <t>-</t>
        </is>
      </c>
      <c r="I61" s="38" t="n">
        <v>3</v>
      </c>
      <c r="J61" s="38" t="inlineStr">
        <is>
          <t>12</t>
        </is>
      </c>
      <c r="K61" s="38" t="inlineStr"/>
      <c r="L61" s="29" t="inlineStr"/>
      <c r="M61" s="40" t="inlineStr"/>
      <c r="N61" s="36" t="inlineStr"/>
      <c r="O61" s="12" t="inlineStr"/>
      <c r="P61" s="14" t="inlineStr"/>
    </row>
    <row r="62" ht="22" customHeight="1">
      <c r="A62" s="27" t="n">
        <v>3</v>
      </c>
      <c r="B62" s="28" t="inlineStr">
        <is>
          <t>Accumulation</t>
        </is>
      </c>
      <c r="C62" s="29" t="n">
        <v>2</v>
      </c>
      <c r="D62" s="30" t="inlineStr">
        <is>
          <t>Tuesday — Bench</t>
        </is>
      </c>
      <c r="E62" s="31" t="n">
        <v>5</v>
      </c>
      <c r="F62" s="30" t="inlineStr">
        <is>
          <t>Face pull</t>
        </is>
      </c>
      <c r="G62" s="31" t="inlineStr">
        <is>
          <t>Accessory</t>
        </is>
      </c>
      <c r="H62" s="31" t="inlineStr">
        <is>
          <t>-</t>
        </is>
      </c>
      <c r="I62" s="29" t="n">
        <v>3</v>
      </c>
      <c r="J62" s="29" t="inlineStr">
        <is>
          <t>15</t>
        </is>
      </c>
      <c r="K62" s="29" t="inlineStr"/>
      <c r="L62" s="29" t="inlineStr"/>
      <c r="M62" s="31" t="inlineStr"/>
      <c r="N62" s="36" t="inlineStr"/>
      <c r="O62" s="12" t="inlineStr"/>
      <c r="P62" s="14" t="inlineStr"/>
    </row>
    <row r="63" ht="22" customHeight="1">
      <c r="A63" s="27" t="n">
        <v>3</v>
      </c>
      <c r="B63" s="28" t="inlineStr">
        <is>
          <t>Accumulation</t>
        </is>
      </c>
      <c r="C63" s="29" t="n">
        <v>3</v>
      </c>
      <c r="D63" s="30" t="inlineStr">
        <is>
          <t>Thursday — Deadlift</t>
        </is>
      </c>
      <c r="E63" s="31" t="n">
        <v>1</v>
      </c>
      <c r="F63" s="32" t="inlineStr">
        <is>
          <t>Deadlift</t>
        </is>
      </c>
      <c r="G63" s="33" t="inlineStr">
        <is>
          <t>Main Lift</t>
        </is>
      </c>
      <c r="H63" s="31" t="inlineStr">
        <is>
          <t>DEADLIFT</t>
        </is>
      </c>
      <c r="I63" s="27" t="n">
        <v>4</v>
      </c>
      <c r="J63" s="27" t="inlineStr">
        <is>
          <t>3</t>
        </is>
      </c>
      <c r="K63" s="34" t="n">
        <v>0.76</v>
      </c>
      <c r="L63" s="35">
        <f>ROUND('Setup &amp; Dashboard'!$E$9*0.76/5, 0)*5</f>
        <v/>
      </c>
      <c r="M63" s="27" t="inlineStr">
        <is>
          <t>RPE 7-8</t>
        </is>
      </c>
      <c r="N63" s="36" t="inlineStr"/>
      <c r="O63" s="12" t="inlineStr"/>
      <c r="P63" s="14" t="inlineStr"/>
    </row>
    <row r="64" ht="22" customHeight="1">
      <c r="A64" s="27" t="n">
        <v>3</v>
      </c>
      <c r="B64" s="28" t="inlineStr">
        <is>
          <t>Accumulation</t>
        </is>
      </c>
      <c r="C64" s="29" t="n">
        <v>3</v>
      </c>
      <c r="D64" s="30" t="inlineStr">
        <is>
          <t>Thursday — Deadlift</t>
        </is>
      </c>
      <c r="E64" s="31" t="n">
        <v>2</v>
      </c>
      <c r="F64" s="30" t="inlineStr">
        <is>
          <t>Paused deadlift</t>
        </is>
      </c>
      <c r="G64" s="31" t="inlineStr">
        <is>
          <t>Accessory</t>
        </is>
      </c>
      <c r="H64" s="31" t="inlineStr">
        <is>
          <t>DEADLIFT</t>
        </is>
      </c>
      <c r="I64" s="29" t="n">
        <v>2</v>
      </c>
      <c r="J64" s="29" t="inlineStr">
        <is>
          <t>2</t>
        </is>
      </c>
      <c r="K64" s="43" t="n">
        <v>0.6</v>
      </c>
      <c r="L64" s="35">
        <f>ROUND('Setup &amp; Dashboard'!$E$9*0.6/5, 0)*5</f>
        <v/>
      </c>
      <c r="M64" s="31" t="inlineStr"/>
      <c r="N64" s="36" t="inlineStr"/>
      <c r="O64" s="12" t="inlineStr"/>
      <c r="P64" s="14" t="inlineStr"/>
    </row>
    <row r="65" ht="22" customHeight="1">
      <c r="A65" s="37" t="n">
        <v>3</v>
      </c>
      <c r="B65" s="28" t="inlineStr">
        <is>
          <t>Accumulation</t>
        </is>
      </c>
      <c r="C65" s="38" t="n">
        <v>3</v>
      </c>
      <c r="D65" s="39" t="inlineStr">
        <is>
          <t>Thursday — Deadlift</t>
        </is>
      </c>
      <c r="E65" s="40" t="n">
        <v>3</v>
      </c>
      <c r="F65" s="39" t="inlineStr">
        <is>
          <t>Farmer's carry</t>
        </is>
      </c>
      <c r="G65" s="40" t="inlineStr">
        <is>
          <t>Accessory</t>
        </is>
      </c>
      <c r="H65" s="40" t="inlineStr">
        <is>
          <t>-</t>
        </is>
      </c>
      <c r="I65" s="38" t="n">
        <v>3</v>
      </c>
      <c r="J65" s="38" t="inlineStr">
        <is>
          <t>30-40m</t>
        </is>
      </c>
      <c r="K65" s="38" t="inlineStr"/>
      <c r="L65" s="29" t="inlineStr"/>
      <c r="M65" s="40" t="inlineStr"/>
      <c r="N65" s="36" t="inlineStr"/>
      <c r="O65" s="12" t="inlineStr"/>
      <c r="P65" s="14" t="inlineStr"/>
    </row>
    <row r="66" ht="22" customHeight="1">
      <c r="A66" s="27" t="n">
        <v>3</v>
      </c>
      <c r="B66" s="28" t="inlineStr">
        <is>
          <t>Accumulation</t>
        </is>
      </c>
      <c r="C66" s="29" t="n">
        <v>3</v>
      </c>
      <c r="D66" s="30" t="inlineStr">
        <is>
          <t>Thursday — Deadlift</t>
        </is>
      </c>
      <c r="E66" s="31" t="n">
        <v>4</v>
      </c>
      <c r="F66" s="30" t="inlineStr">
        <is>
          <t>Reverse hyper</t>
        </is>
      </c>
      <c r="G66" s="31" t="inlineStr">
        <is>
          <t>Accessory</t>
        </is>
      </c>
      <c r="H66" s="31" t="inlineStr">
        <is>
          <t>-</t>
        </is>
      </c>
      <c r="I66" s="29" t="n">
        <v>2</v>
      </c>
      <c r="J66" s="29" t="inlineStr">
        <is>
          <t>15</t>
        </is>
      </c>
      <c r="K66" s="29" t="inlineStr"/>
      <c r="L66" s="29" t="inlineStr"/>
      <c r="M66" s="31" t="inlineStr"/>
      <c r="N66" s="36" t="inlineStr"/>
      <c r="O66" s="12" t="inlineStr"/>
      <c r="P66" s="14" t="inlineStr"/>
    </row>
    <row r="67" ht="22" customHeight="1">
      <c r="A67" s="37" t="n">
        <v>3</v>
      </c>
      <c r="B67" s="28" t="inlineStr">
        <is>
          <t>Accumulation</t>
        </is>
      </c>
      <c r="C67" s="38" t="n">
        <v>3</v>
      </c>
      <c r="D67" s="39" t="inlineStr">
        <is>
          <t>Thursday — Deadlift</t>
        </is>
      </c>
      <c r="E67" s="40" t="n">
        <v>5</v>
      </c>
      <c r="F67" s="39" t="inlineStr">
        <is>
          <t>Jefferson curl</t>
        </is>
      </c>
      <c r="G67" s="40" t="inlineStr">
        <is>
          <t>Accessory</t>
        </is>
      </c>
      <c r="H67" s="40" t="inlineStr">
        <is>
          <t>-</t>
        </is>
      </c>
      <c r="I67" s="38" t="n">
        <v>2</v>
      </c>
      <c r="J67" s="38" t="inlineStr">
        <is>
          <t>8</t>
        </is>
      </c>
      <c r="K67" s="38" t="inlineStr"/>
      <c r="L67" s="29" t="inlineStr"/>
      <c r="M67" s="40" t="inlineStr"/>
      <c r="N67" s="36" t="inlineStr"/>
      <c r="O67" s="12" t="inlineStr"/>
      <c r="P67" s="14" t="inlineStr"/>
    </row>
    <row r="68" ht="22" customHeight="1">
      <c r="A68" s="27" t="n">
        <v>3</v>
      </c>
      <c r="B68" s="28" t="inlineStr">
        <is>
          <t>Accumulation</t>
        </is>
      </c>
      <c r="C68" s="29" t="n">
        <v>4</v>
      </c>
      <c r="D68" s="30" t="inlineStr">
        <is>
          <t>Friday — Bench variant / upper body</t>
        </is>
      </c>
      <c r="E68" s="31" t="n">
        <v>1</v>
      </c>
      <c r="F68" s="32" t="inlineStr">
        <is>
          <t>Spoto press</t>
        </is>
      </c>
      <c r="G68" s="33" t="inlineStr">
        <is>
          <t>Main Lift</t>
        </is>
      </c>
      <c r="H68" s="31" t="inlineStr">
        <is>
          <t>BENCH</t>
        </is>
      </c>
      <c r="I68" s="27" t="n">
        <v>4</v>
      </c>
      <c r="J68" s="27" t="inlineStr">
        <is>
          <t>4</t>
        </is>
      </c>
      <c r="K68" s="34" t="n">
        <v>0.6</v>
      </c>
      <c r="L68" s="35">
        <f>ROUND('Setup &amp; Dashboard'!$E$8*0.6/5, 0)*5</f>
        <v/>
      </c>
      <c r="M68" s="27" t="inlineStr">
        <is>
          <t>RPE 6-7</t>
        </is>
      </c>
      <c r="N68" s="36" t="inlineStr"/>
      <c r="O68" s="12" t="inlineStr"/>
      <c r="P68" s="14" t="inlineStr"/>
    </row>
    <row r="69" ht="22" customHeight="1">
      <c r="A69" s="37" t="n">
        <v>3</v>
      </c>
      <c r="B69" s="28" t="inlineStr">
        <is>
          <t>Accumulation</t>
        </is>
      </c>
      <c r="C69" s="38" t="n">
        <v>4</v>
      </c>
      <c r="D69" s="39" t="inlineStr">
        <is>
          <t>Friday — Bench variant / upper body</t>
        </is>
      </c>
      <c r="E69" s="40" t="n">
        <v>2</v>
      </c>
      <c r="F69" s="39" t="inlineStr">
        <is>
          <t>Chest-supported row</t>
        </is>
      </c>
      <c r="G69" s="40" t="inlineStr">
        <is>
          <t>Accessory</t>
        </is>
      </c>
      <c r="H69" s="40" t="inlineStr">
        <is>
          <t>-</t>
        </is>
      </c>
      <c r="I69" s="38" t="n">
        <v>4</v>
      </c>
      <c r="J69" s="38" t="inlineStr">
        <is>
          <t>10</t>
        </is>
      </c>
      <c r="K69" s="38" t="inlineStr"/>
      <c r="L69" s="29" t="inlineStr"/>
      <c r="M69" s="40" t="inlineStr"/>
      <c r="N69" s="36" t="inlineStr"/>
      <c r="O69" s="12" t="inlineStr"/>
      <c r="P69" s="14" t="inlineStr"/>
    </row>
    <row r="70" ht="22" customHeight="1">
      <c r="A70" s="27" t="n">
        <v>3</v>
      </c>
      <c r="B70" s="28" t="inlineStr">
        <is>
          <t>Accumulation</t>
        </is>
      </c>
      <c r="C70" s="29" t="n">
        <v>4</v>
      </c>
      <c r="D70" s="30" t="inlineStr">
        <is>
          <t>Friday — Bench variant / upper body</t>
        </is>
      </c>
      <c r="E70" s="31" t="n">
        <v>3</v>
      </c>
      <c r="F70" s="30" t="inlineStr">
        <is>
          <t>Lat pulldown</t>
        </is>
      </c>
      <c r="G70" s="31" t="inlineStr">
        <is>
          <t>Accessory</t>
        </is>
      </c>
      <c r="H70" s="31" t="inlineStr">
        <is>
          <t>-</t>
        </is>
      </c>
      <c r="I70" s="29" t="n">
        <v>3</v>
      </c>
      <c r="J70" s="29" t="inlineStr">
        <is>
          <t>12</t>
        </is>
      </c>
      <c r="K70" s="29" t="inlineStr"/>
      <c r="L70" s="29" t="inlineStr"/>
      <c r="M70" s="31" t="inlineStr"/>
      <c r="N70" s="36" t="inlineStr"/>
      <c r="O70" s="12" t="inlineStr"/>
      <c r="P70" s="14" t="inlineStr"/>
    </row>
    <row r="71" ht="22" customHeight="1">
      <c r="A71" s="37" t="n">
        <v>3</v>
      </c>
      <c r="B71" s="28" t="inlineStr">
        <is>
          <t>Accumulation</t>
        </is>
      </c>
      <c r="C71" s="38" t="n">
        <v>4</v>
      </c>
      <c r="D71" s="39" t="inlineStr">
        <is>
          <t>Friday — Bench variant / upper body</t>
        </is>
      </c>
      <c r="E71" s="40" t="n">
        <v>4</v>
      </c>
      <c r="F71" s="39" t="inlineStr">
        <is>
          <t>Lateral raise</t>
        </is>
      </c>
      <c r="G71" s="40" t="inlineStr">
        <is>
          <t>Accessory</t>
        </is>
      </c>
      <c r="H71" s="40" t="inlineStr">
        <is>
          <t>-</t>
        </is>
      </c>
      <c r="I71" s="38" t="n">
        <v>3</v>
      </c>
      <c r="J71" s="38" t="inlineStr">
        <is>
          <t>15</t>
        </is>
      </c>
      <c r="K71" s="38" t="inlineStr"/>
      <c r="L71" s="29" t="inlineStr"/>
      <c r="M71" s="40" t="inlineStr"/>
      <c r="N71" s="36" t="inlineStr"/>
      <c r="O71" s="12" t="inlineStr"/>
      <c r="P71" s="14" t="inlineStr"/>
    </row>
    <row r="72" ht="22" customHeight="1">
      <c r="A72" s="27" t="n">
        <v>3</v>
      </c>
      <c r="B72" s="28" t="inlineStr">
        <is>
          <t>Accumulation</t>
        </is>
      </c>
      <c r="C72" s="29" t="n">
        <v>4</v>
      </c>
      <c r="D72" s="30" t="inlineStr">
        <is>
          <t>Friday — Bench variant / upper body</t>
        </is>
      </c>
      <c r="E72" s="31" t="n">
        <v>5</v>
      </c>
      <c r="F72" s="30" t="inlineStr">
        <is>
          <t>Curl</t>
        </is>
      </c>
      <c r="G72" s="31" t="inlineStr">
        <is>
          <t>Accessory</t>
        </is>
      </c>
      <c r="H72" s="31" t="inlineStr">
        <is>
          <t>-</t>
        </is>
      </c>
      <c r="I72" s="29" t="n">
        <v>3</v>
      </c>
      <c r="J72" s="29" t="inlineStr">
        <is>
          <t>12</t>
        </is>
      </c>
      <c r="K72" s="29" t="inlineStr"/>
      <c r="L72" s="29" t="inlineStr"/>
      <c r="M72" s="31" t="inlineStr"/>
      <c r="N72" s="36" t="inlineStr"/>
      <c r="O72" s="12" t="inlineStr"/>
      <c r="P72" s="14" t="inlineStr"/>
    </row>
    <row r="73" ht="22" customHeight="1">
      <c r="A73" s="37" t="n">
        <v>3</v>
      </c>
      <c r="B73" s="28" t="inlineStr">
        <is>
          <t>Accumulation</t>
        </is>
      </c>
      <c r="C73" s="38" t="n">
        <v>4</v>
      </c>
      <c r="D73" s="39" t="inlineStr">
        <is>
          <t>Friday — Bench variant / upper body</t>
        </is>
      </c>
      <c r="E73" s="40" t="n">
        <v>6</v>
      </c>
      <c r="F73" s="39" t="inlineStr">
        <is>
          <t>Pallof press</t>
        </is>
      </c>
      <c r="G73" s="40" t="inlineStr">
        <is>
          <t>Accessory</t>
        </is>
      </c>
      <c r="H73" s="40" t="inlineStr">
        <is>
          <t>-</t>
        </is>
      </c>
      <c r="I73" s="38" t="n">
        <v>3</v>
      </c>
      <c r="J73" s="38" t="inlineStr">
        <is>
          <t>10/side</t>
        </is>
      </c>
      <c r="K73" s="38" t="inlineStr"/>
      <c r="L73" s="29" t="inlineStr"/>
      <c r="M73" s="40" t="inlineStr"/>
      <c r="N73" s="36" t="inlineStr"/>
      <c r="O73" s="12" t="inlineStr"/>
      <c r="P73" s="14" t="inlineStr"/>
    </row>
    <row r="74" ht="22" customHeight="1">
      <c r="A74" s="27" t="n">
        <v>3</v>
      </c>
      <c r="B74" s="28" t="inlineStr">
        <is>
          <t>Accumulation</t>
        </is>
      </c>
      <c r="C74" s="29" t="n">
        <v>5</v>
      </c>
      <c r="D74" s="30" t="inlineStr">
        <is>
          <t>Saturday — Squat variant + Rack Pull</t>
        </is>
      </c>
      <c r="E74" s="31" t="n">
        <v>1</v>
      </c>
      <c r="F74" s="32" t="inlineStr">
        <is>
          <t>Tempo squat</t>
        </is>
      </c>
      <c r="G74" s="33" t="inlineStr">
        <is>
          <t>Main Lift</t>
        </is>
      </c>
      <c r="H74" s="31" t="inlineStr">
        <is>
          <t>SQUAT</t>
        </is>
      </c>
      <c r="I74" s="27" t="n">
        <v>3</v>
      </c>
      <c r="J74" s="27" t="inlineStr">
        <is>
          <t>4</t>
        </is>
      </c>
      <c r="K74" s="34" t="n">
        <v>0.65</v>
      </c>
      <c r="L74" s="35">
        <f>ROUND('Setup &amp; Dashboard'!$E$7*0.65/5, 0)*5</f>
        <v/>
      </c>
      <c r="M74" s="27" t="inlineStr">
        <is>
          <t>RPE 7</t>
        </is>
      </c>
      <c r="N74" s="36" t="inlineStr"/>
      <c r="O74" s="12" t="inlineStr"/>
      <c r="P74" s="14" t="inlineStr"/>
    </row>
    <row r="75" ht="22" customHeight="1">
      <c r="A75" s="27" t="n">
        <v>3</v>
      </c>
      <c r="B75" s="28" t="inlineStr">
        <is>
          <t>Accumulation</t>
        </is>
      </c>
      <c r="C75" s="29" t="n">
        <v>5</v>
      </c>
      <c r="D75" s="30" t="inlineStr">
        <is>
          <t>Saturday — Squat variant + Rack Pull</t>
        </is>
      </c>
      <c r="E75" s="31" t="n">
        <v>2</v>
      </c>
      <c r="F75" s="32" t="inlineStr">
        <is>
          <t>Rack pull</t>
        </is>
      </c>
      <c r="G75" s="33" t="inlineStr">
        <is>
          <t>Main Lift</t>
        </is>
      </c>
      <c r="H75" s="31" t="inlineStr">
        <is>
          <t>RACKPULL</t>
        </is>
      </c>
      <c r="I75" s="27" t="n">
        <v>5</v>
      </c>
      <c r="J75" s="27" t="inlineStr">
        <is>
          <t>3</t>
        </is>
      </c>
      <c r="K75" s="34" t="n">
        <v>0.74</v>
      </c>
      <c r="L75" s="35">
        <f>ROUND('Setup &amp; Dashboard'!$E$10*0.74/5, 0)*5</f>
        <v/>
      </c>
      <c r="M75" s="27" t="inlineStr">
        <is>
          <t>RPE 7-8</t>
        </is>
      </c>
      <c r="N75" s="36" t="inlineStr"/>
      <c r="O75" s="12" t="inlineStr"/>
      <c r="P75" s="14" t="inlineStr"/>
    </row>
    <row r="76" ht="22" customHeight="1">
      <c r="A76" s="27" t="n">
        <v>3</v>
      </c>
      <c r="B76" s="28" t="inlineStr">
        <is>
          <t>Accumulation</t>
        </is>
      </c>
      <c r="C76" s="29" t="n">
        <v>5</v>
      </c>
      <c r="D76" s="30" t="inlineStr">
        <is>
          <t>Saturday — Squat variant + Rack Pull</t>
        </is>
      </c>
      <c r="E76" s="31" t="n">
        <v>3</v>
      </c>
      <c r="F76" s="30" t="inlineStr">
        <is>
          <t>Reverse hyper</t>
        </is>
      </c>
      <c r="G76" s="31" t="inlineStr">
        <is>
          <t>Accessory</t>
        </is>
      </c>
      <c r="H76" s="31" t="inlineStr">
        <is>
          <t>-</t>
        </is>
      </c>
      <c r="I76" s="29" t="n">
        <v>2</v>
      </c>
      <c r="J76" s="29" t="inlineStr">
        <is>
          <t>12</t>
        </is>
      </c>
      <c r="K76" s="29" t="inlineStr"/>
      <c r="L76" s="29" t="inlineStr"/>
      <c r="M76" s="31" t="inlineStr"/>
      <c r="N76" s="36" t="inlineStr"/>
      <c r="O76" s="12" t="inlineStr"/>
      <c r="P76" s="14" t="inlineStr"/>
    </row>
    <row r="77" ht="22" customHeight="1">
      <c r="A77" s="37" t="n">
        <v>3</v>
      </c>
      <c r="B77" s="28" t="inlineStr">
        <is>
          <t>Accumulation</t>
        </is>
      </c>
      <c r="C77" s="38" t="n">
        <v>5</v>
      </c>
      <c r="D77" s="39" t="inlineStr">
        <is>
          <t>Saturday — Squat variant + Rack Pull</t>
        </is>
      </c>
      <c r="E77" s="40" t="n">
        <v>4</v>
      </c>
      <c r="F77" s="39" t="inlineStr">
        <is>
          <t>GHR or Nordic curl</t>
        </is>
      </c>
      <c r="G77" s="40" t="inlineStr">
        <is>
          <t>Accessory</t>
        </is>
      </c>
      <c r="H77" s="40" t="inlineStr">
        <is>
          <t>-</t>
        </is>
      </c>
      <c r="I77" s="38" t="n">
        <v>3</v>
      </c>
      <c r="J77" s="38" t="inlineStr">
        <is>
          <t>8</t>
        </is>
      </c>
      <c r="K77" s="38" t="inlineStr"/>
      <c r="L77" s="29" t="inlineStr"/>
      <c r="M77" s="40" t="inlineStr"/>
      <c r="N77" s="36" t="inlineStr"/>
      <c r="O77" s="12" t="inlineStr"/>
      <c r="P77" s="14" t="inlineStr"/>
    </row>
    <row r="78" ht="22" customHeight="1">
      <c r="A78" s="27" t="n">
        <v>4</v>
      </c>
      <c r="B78" s="44" t="inlineStr">
        <is>
          <t>Accumulation Peak</t>
        </is>
      </c>
      <c r="C78" s="29" t="n">
        <v>1</v>
      </c>
      <c r="D78" s="30" t="inlineStr">
        <is>
          <t>Monday — Squat</t>
        </is>
      </c>
      <c r="E78" s="31" t="n">
        <v>1</v>
      </c>
      <c r="F78" s="32" t="inlineStr">
        <is>
          <t>Squat</t>
        </is>
      </c>
      <c r="G78" s="33" t="inlineStr">
        <is>
          <t>Main Lift</t>
        </is>
      </c>
      <c r="H78" s="31" t="inlineStr">
        <is>
          <t>SQUAT</t>
        </is>
      </c>
      <c r="I78" s="27" t="n">
        <v>6</v>
      </c>
      <c r="J78" s="27" t="inlineStr">
        <is>
          <t>3</t>
        </is>
      </c>
      <c r="K78" s="34" t="n">
        <v>0.8</v>
      </c>
      <c r="L78" s="35">
        <f>ROUND('Setup &amp; Dashboard'!$E$7*0.8/5, 0)*5</f>
        <v/>
      </c>
      <c r="M78" s="27" t="inlineStr">
        <is>
          <t>RPE 8</t>
        </is>
      </c>
      <c r="N78" s="36" t="inlineStr"/>
      <c r="O78" s="12" t="inlineStr"/>
      <c r="P78" s="14" t="inlineStr"/>
    </row>
    <row r="79" ht="22" customHeight="1">
      <c r="A79" s="37" t="n">
        <v>4</v>
      </c>
      <c r="B79" s="44" t="inlineStr">
        <is>
          <t>Accumulation Peak</t>
        </is>
      </c>
      <c r="C79" s="38" t="n">
        <v>1</v>
      </c>
      <c r="D79" s="39" t="inlineStr">
        <is>
          <t>Monday — Squat</t>
        </is>
      </c>
      <c r="E79" s="40" t="n">
        <v>2</v>
      </c>
      <c r="F79" s="39" t="inlineStr">
        <is>
          <t>Bulgarian split squat</t>
        </is>
      </c>
      <c r="G79" s="40" t="inlineStr">
        <is>
          <t>Accessory</t>
        </is>
      </c>
      <c r="H79" s="40" t="inlineStr">
        <is>
          <t>-</t>
        </is>
      </c>
      <c r="I79" s="38" t="n">
        <v>2</v>
      </c>
      <c r="J79" s="38" t="inlineStr">
        <is>
          <t>8/leg</t>
        </is>
      </c>
      <c r="K79" s="38" t="inlineStr"/>
      <c r="L79" s="29" t="inlineStr"/>
      <c r="M79" s="40" t="inlineStr"/>
      <c r="N79" s="36" t="inlineStr"/>
      <c r="O79" s="12" t="inlineStr"/>
      <c r="P79" s="14" t="inlineStr"/>
    </row>
    <row r="80" ht="22" customHeight="1">
      <c r="A80" s="27" t="n">
        <v>4</v>
      </c>
      <c r="B80" s="44" t="inlineStr">
        <is>
          <t>Accumulation Peak</t>
        </is>
      </c>
      <c r="C80" s="29" t="n">
        <v>1</v>
      </c>
      <c r="D80" s="30" t="inlineStr">
        <is>
          <t>Monday — Squat</t>
        </is>
      </c>
      <c r="E80" s="31" t="n">
        <v>3</v>
      </c>
      <c r="F80" s="30" t="inlineStr">
        <is>
          <t>Leg curl</t>
        </is>
      </c>
      <c r="G80" s="31" t="inlineStr">
        <is>
          <t>Accessory</t>
        </is>
      </c>
      <c r="H80" s="31" t="inlineStr">
        <is>
          <t>-</t>
        </is>
      </c>
      <c r="I80" s="29" t="n">
        <v>3</v>
      </c>
      <c r="J80" s="29" t="inlineStr">
        <is>
          <t>10-12</t>
        </is>
      </c>
      <c r="K80" s="29" t="inlineStr"/>
      <c r="L80" s="29" t="inlineStr"/>
      <c r="M80" s="31" t="inlineStr"/>
      <c r="N80" s="36" t="inlineStr"/>
      <c r="O80" s="12" t="inlineStr"/>
      <c r="P80" s="14" t="inlineStr"/>
    </row>
    <row r="81" ht="22" customHeight="1">
      <c r="A81" s="37" t="n">
        <v>4</v>
      </c>
      <c r="B81" s="44" t="inlineStr">
        <is>
          <t>Accumulation Peak</t>
        </is>
      </c>
      <c r="C81" s="38" t="n">
        <v>1</v>
      </c>
      <c r="D81" s="39" t="inlineStr">
        <is>
          <t>Monday — Squat</t>
        </is>
      </c>
      <c r="E81" s="40" t="n">
        <v>4</v>
      </c>
      <c r="F81" s="39" t="inlineStr">
        <is>
          <t>Copenhagen plank</t>
        </is>
      </c>
      <c r="G81" s="40" t="inlineStr">
        <is>
          <t>Accessory</t>
        </is>
      </c>
      <c r="H81" s="40" t="inlineStr">
        <is>
          <t>-</t>
        </is>
      </c>
      <c r="I81" s="38" t="n">
        <v>3</v>
      </c>
      <c r="J81" s="38" t="inlineStr">
        <is>
          <t>30sec/side</t>
        </is>
      </c>
      <c r="K81" s="38" t="inlineStr"/>
      <c r="L81" s="29" t="inlineStr"/>
      <c r="M81" s="40" t="inlineStr"/>
      <c r="N81" s="36" t="inlineStr"/>
      <c r="O81" s="12" t="inlineStr"/>
      <c r="P81" s="14" t="inlineStr"/>
    </row>
    <row r="82" ht="22" customHeight="1">
      <c r="A82" s="27" t="n">
        <v>4</v>
      </c>
      <c r="B82" s="44" t="inlineStr">
        <is>
          <t>Accumulation Peak</t>
        </is>
      </c>
      <c r="C82" s="29" t="n">
        <v>2</v>
      </c>
      <c r="D82" s="30" t="inlineStr">
        <is>
          <t>Tuesday — Bench</t>
        </is>
      </c>
      <c r="E82" s="31" t="n">
        <v>1</v>
      </c>
      <c r="F82" s="32" t="inlineStr">
        <is>
          <t>Bench</t>
        </is>
      </c>
      <c r="G82" s="33" t="inlineStr">
        <is>
          <t>Main Lift</t>
        </is>
      </c>
      <c r="H82" s="31" t="inlineStr">
        <is>
          <t>BENCH</t>
        </is>
      </c>
      <c r="I82" s="27" t="n">
        <v>6</v>
      </c>
      <c r="J82" s="27" t="inlineStr">
        <is>
          <t>3</t>
        </is>
      </c>
      <c r="K82" s="34" t="n">
        <v>0.8</v>
      </c>
      <c r="L82" s="35">
        <f>ROUND('Setup &amp; Dashboard'!$E$8*0.8/5, 0)*5</f>
        <v/>
      </c>
      <c r="M82" s="27" t="inlineStr">
        <is>
          <t>RPE 8</t>
        </is>
      </c>
      <c r="N82" s="36" t="inlineStr"/>
      <c r="O82" s="12" t="inlineStr"/>
      <c r="P82" s="14" t="inlineStr"/>
    </row>
    <row r="83" ht="22" customHeight="1">
      <c r="A83" s="37" t="n">
        <v>4</v>
      </c>
      <c r="B83" s="44" t="inlineStr">
        <is>
          <t>Accumulation Peak</t>
        </is>
      </c>
      <c r="C83" s="38" t="n">
        <v>2</v>
      </c>
      <c r="D83" s="39" t="inlineStr">
        <is>
          <t>Tuesday — Bench</t>
        </is>
      </c>
      <c r="E83" s="40" t="n">
        <v>2</v>
      </c>
      <c r="F83" s="39" t="inlineStr">
        <is>
          <t>Close-grip bench</t>
        </is>
      </c>
      <c r="G83" s="40" t="inlineStr">
        <is>
          <t>Accessory</t>
        </is>
      </c>
      <c r="H83" s="40" t="inlineStr">
        <is>
          <t>-</t>
        </is>
      </c>
      <c r="I83" s="38" t="n">
        <v>3</v>
      </c>
      <c r="J83" s="38" t="inlineStr">
        <is>
          <t>5</t>
        </is>
      </c>
      <c r="K83" s="38" t="inlineStr"/>
      <c r="L83" s="29" t="inlineStr"/>
      <c r="M83" s="40" t="inlineStr"/>
      <c r="N83" s="36" t="inlineStr"/>
      <c r="O83" s="12" t="inlineStr"/>
      <c r="P83" s="14" t="inlineStr"/>
    </row>
    <row r="84" ht="22" customHeight="1">
      <c r="A84" s="27" t="n">
        <v>4</v>
      </c>
      <c r="B84" s="44" t="inlineStr">
        <is>
          <t>Accumulation Peak</t>
        </is>
      </c>
      <c r="C84" s="29" t="n">
        <v>2</v>
      </c>
      <c r="D84" s="30" t="inlineStr">
        <is>
          <t>Tuesday — Bench</t>
        </is>
      </c>
      <c r="E84" s="31" t="n">
        <v>3</v>
      </c>
      <c r="F84" s="30" t="inlineStr">
        <is>
          <t>Incline DB press</t>
        </is>
      </c>
      <c r="G84" s="31" t="inlineStr">
        <is>
          <t>Accessory</t>
        </is>
      </c>
      <c r="H84" s="31" t="inlineStr">
        <is>
          <t>-</t>
        </is>
      </c>
      <c r="I84" s="29" t="n">
        <v>3</v>
      </c>
      <c r="J84" s="29" t="inlineStr">
        <is>
          <t>10</t>
        </is>
      </c>
      <c r="K84" s="29" t="inlineStr"/>
      <c r="L84" s="29" t="inlineStr"/>
      <c r="M84" s="31" t="inlineStr"/>
      <c r="N84" s="36" t="inlineStr"/>
      <c r="O84" s="12" t="inlineStr"/>
      <c r="P84" s="14" t="inlineStr"/>
    </row>
    <row r="85" ht="22" customHeight="1">
      <c r="A85" s="37" t="n">
        <v>4</v>
      </c>
      <c r="B85" s="44" t="inlineStr">
        <is>
          <t>Accumulation Peak</t>
        </is>
      </c>
      <c r="C85" s="38" t="n">
        <v>2</v>
      </c>
      <c r="D85" s="39" t="inlineStr">
        <is>
          <t>Tuesday — Bench</t>
        </is>
      </c>
      <c r="E85" s="40" t="n">
        <v>4</v>
      </c>
      <c r="F85" s="39" t="inlineStr">
        <is>
          <t>Triceps pressdown</t>
        </is>
      </c>
      <c r="G85" s="40" t="inlineStr">
        <is>
          <t>Accessory</t>
        </is>
      </c>
      <c r="H85" s="40" t="inlineStr">
        <is>
          <t>-</t>
        </is>
      </c>
      <c r="I85" s="38" t="n">
        <v>3</v>
      </c>
      <c r="J85" s="38" t="inlineStr">
        <is>
          <t>12</t>
        </is>
      </c>
      <c r="K85" s="38" t="inlineStr"/>
      <c r="L85" s="29" t="inlineStr"/>
      <c r="M85" s="40" t="inlineStr"/>
      <c r="N85" s="36" t="inlineStr"/>
      <c r="O85" s="12" t="inlineStr"/>
      <c r="P85" s="14" t="inlineStr"/>
    </row>
    <row r="86" ht="22" customHeight="1">
      <c r="A86" s="27" t="n">
        <v>4</v>
      </c>
      <c r="B86" s="44" t="inlineStr">
        <is>
          <t>Accumulation Peak</t>
        </is>
      </c>
      <c r="C86" s="29" t="n">
        <v>2</v>
      </c>
      <c r="D86" s="30" t="inlineStr">
        <is>
          <t>Tuesday — Bench</t>
        </is>
      </c>
      <c r="E86" s="31" t="n">
        <v>5</v>
      </c>
      <c r="F86" s="30" t="inlineStr">
        <is>
          <t>Face pull</t>
        </is>
      </c>
      <c r="G86" s="31" t="inlineStr">
        <is>
          <t>Accessory</t>
        </is>
      </c>
      <c r="H86" s="31" t="inlineStr">
        <is>
          <t>-</t>
        </is>
      </c>
      <c r="I86" s="29" t="n">
        <v>3</v>
      </c>
      <c r="J86" s="29" t="inlineStr">
        <is>
          <t>15</t>
        </is>
      </c>
      <c r="K86" s="29" t="inlineStr"/>
      <c r="L86" s="29" t="inlineStr"/>
      <c r="M86" s="31" t="inlineStr"/>
      <c r="N86" s="36" t="inlineStr"/>
      <c r="O86" s="12" t="inlineStr"/>
      <c r="P86" s="14" t="inlineStr"/>
    </row>
    <row r="87" ht="22" customHeight="1">
      <c r="A87" s="27" t="n">
        <v>4</v>
      </c>
      <c r="B87" s="44" t="inlineStr">
        <is>
          <t>Accumulation Peak</t>
        </is>
      </c>
      <c r="C87" s="29" t="n">
        <v>3</v>
      </c>
      <c r="D87" s="30" t="inlineStr">
        <is>
          <t>Thursday — Deadlift</t>
        </is>
      </c>
      <c r="E87" s="31" t="n">
        <v>1</v>
      </c>
      <c r="F87" s="32" t="inlineStr">
        <is>
          <t>Deadlift</t>
        </is>
      </c>
      <c r="G87" s="33" t="inlineStr">
        <is>
          <t>Main Lift</t>
        </is>
      </c>
      <c r="H87" s="31" t="inlineStr">
        <is>
          <t>DEADLIFT</t>
        </is>
      </c>
      <c r="I87" s="27" t="n">
        <v>4</v>
      </c>
      <c r="J87" s="27" t="inlineStr">
        <is>
          <t>3</t>
        </is>
      </c>
      <c r="K87" s="34" t="n">
        <v>0.8</v>
      </c>
      <c r="L87" s="35">
        <f>ROUND('Setup &amp; Dashboard'!$E$9*0.8/5, 0)*5</f>
        <v/>
      </c>
      <c r="M87" s="27" t="inlineStr">
        <is>
          <t>RPE 8</t>
        </is>
      </c>
      <c r="N87" s="36" t="inlineStr"/>
      <c r="O87" s="12" t="inlineStr"/>
      <c r="P87" s="14" t="inlineStr"/>
    </row>
    <row r="88" ht="22" customHeight="1">
      <c r="A88" s="27" t="n">
        <v>4</v>
      </c>
      <c r="B88" s="44" t="inlineStr">
        <is>
          <t>Accumulation Peak</t>
        </is>
      </c>
      <c r="C88" s="29" t="n">
        <v>3</v>
      </c>
      <c r="D88" s="30" t="inlineStr">
        <is>
          <t>Thursday — Deadlift</t>
        </is>
      </c>
      <c r="E88" s="31" t="n">
        <v>2</v>
      </c>
      <c r="F88" s="30" t="inlineStr">
        <is>
          <t>Farmer's carry</t>
        </is>
      </c>
      <c r="G88" s="31" t="inlineStr">
        <is>
          <t>Accessory</t>
        </is>
      </c>
      <c r="H88" s="31" t="inlineStr">
        <is>
          <t>-</t>
        </is>
      </c>
      <c r="I88" s="29" t="n">
        <v>3</v>
      </c>
      <c r="J88" s="29" t="inlineStr">
        <is>
          <t>30-40m</t>
        </is>
      </c>
      <c r="K88" s="29" t="inlineStr"/>
      <c r="L88" s="29" t="inlineStr"/>
      <c r="M88" s="31" t="inlineStr"/>
      <c r="N88" s="42" t="inlineStr">
        <is>
          <t>paused deadlift dropped here — heaviest accumulation week</t>
        </is>
      </c>
      <c r="O88" s="12" t="inlineStr"/>
      <c r="P88" s="14" t="inlineStr"/>
    </row>
    <row r="89" ht="22" customHeight="1">
      <c r="A89" s="37" t="n">
        <v>4</v>
      </c>
      <c r="B89" s="44" t="inlineStr">
        <is>
          <t>Accumulation Peak</t>
        </is>
      </c>
      <c r="C89" s="38" t="n">
        <v>3</v>
      </c>
      <c r="D89" s="39" t="inlineStr">
        <is>
          <t>Thursday — Deadlift</t>
        </is>
      </c>
      <c r="E89" s="40" t="n">
        <v>3</v>
      </c>
      <c r="F89" s="39" t="inlineStr">
        <is>
          <t>Reverse hyper</t>
        </is>
      </c>
      <c r="G89" s="40" t="inlineStr">
        <is>
          <t>Accessory</t>
        </is>
      </c>
      <c r="H89" s="40" t="inlineStr">
        <is>
          <t>-</t>
        </is>
      </c>
      <c r="I89" s="38" t="n">
        <v>2</v>
      </c>
      <c r="J89" s="38" t="inlineStr">
        <is>
          <t>15</t>
        </is>
      </c>
      <c r="K89" s="38" t="inlineStr"/>
      <c r="L89" s="29" t="inlineStr"/>
      <c r="M89" s="40" t="inlineStr"/>
      <c r="N89" s="36" t="inlineStr"/>
      <c r="O89" s="12" t="inlineStr"/>
      <c r="P89" s="14" t="inlineStr"/>
    </row>
    <row r="90" ht="22" customHeight="1">
      <c r="A90" s="27" t="n">
        <v>4</v>
      </c>
      <c r="B90" s="44" t="inlineStr">
        <is>
          <t>Accumulation Peak</t>
        </is>
      </c>
      <c r="C90" s="29" t="n">
        <v>3</v>
      </c>
      <c r="D90" s="30" t="inlineStr">
        <is>
          <t>Thursday — Deadlift</t>
        </is>
      </c>
      <c r="E90" s="31" t="n">
        <v>4</v>
      </c>
      <c r="F90" s="30" t="inlineStr">
        <is>
          <t>Jefferson curl</t>
        </is>
      </c>
      <c r="G90" s="31" t="inlineStr">
        <is>
          <t>Accessory</t>
        </is>
      </c>
      <c r="H90" s="31" t="inlineStr">
        <is>
          <t>-</t>
        </is>
      </c>
      <c r="I90" s="29" t="n">
        <v>2</v>
      </c>
      <c r="J90" s="29" t="inlineStr">
        <is>
          <t>8</t>
        </is>
      </c>
      <c r="K90" s="29" t="inlineStr"/>
      <c r="L90" s="29" t="inlineStr"/>
      <c r="M90" s="31" t="inlineStr"/>
      <c r="N90" s="36" t="inlineStr"/>
      <c r="O90" s="12" t="inlineStr"/>
      <c r="P90" s="14" t="inlineStr"/>
    </row>
    <row r="91" ht="22" customHeight="1">
      <c r="A91" s="27" t="n">
        <v>4</v>
      </c>
      <c r="B91" s="44" t="inlineStr">
        <is>
          <t>Accumulation Peak</t>
        </is>
      </c>
      <c r="C91" s="29" t="n">
        <v>4</v>
      </c>
      <c r="D91" s="30" t="inlineStr">
        <is>
          <t>Friday — Bench variant / upper body</t>
        </is>
      </c>
      <c r="E91" s="31" t="n">
        <v>1</v>
      </c>
      <c r="F91" s="32" t="inlineStr">
        <is>
          <t>Tempo bench</t>
        </is>
      </c>
      <c r="G91" s="33" t="inlineStr">
        <is>
          <t>Main Lift</t>
        </is>
      </c>
      <c r="H91" s="31" t="inlineStr">
        <is>
          <t>BENCH</t>
        </is>
      </c>
      <c r="I91" s="27" t="n">
        <v>4</v>
      </c>
      <c r="J91" s="27" t="inlineStr">
        <is>
          <t>3</t>
        </is>
      </c>
      <c r="K91" s="34" t="n">
        <v>0.65</v>
      </c>
      <c r="L91" s="35">
        <f>ROUND('Setup &amp; Dashboard'!$E$8*0.65/5, 0)*5</f>
        <v/>
      </c>
      <c r="M91" s="27" t="inlineStr">
        <is>
          <t>RPE 7</t>
        </is>
      </c>
      <c r="N91" s="36" t="inlineStr"/>
      <c r="O91" s="12" t="inlineStr"/>
      <c r="P91" s="14" t="inlineStr"/>
    </row>
    <row r="92" ht="22" customHeight="1">
      <c r="A92" s="27" t="n">
        <v>4</v>
      </c>
      <c r="B92" s="44" t="inlineStr">
        <is>
          <t>Accumulation Peak</t>
        </is>
      </c>
      <c r="C92" s="29" t="n">
        <v>4</v>
      </c>
      <c r="D92" s="30" t="inlineStr">
        <is>
          <t>Friday — Bench variant / upper body</t>
        </is>
      </c>
      <c r="E92" s="31" t="n">
        <v>2</v>
      </c>
      <c r="F92" s="30" t="inlineStr">
        <is>
          <t>Chest-supported row</t>
        </is>
      </c>
      <c r="G92" s="31" t="inlineStr">
        <is>
          <t>Accessory</t>
        </is>
      </c>
      <c r="H92" s="31" t="inlineStr">
        <is>
          <t>-</t>
        </is>
      </c>
      <c r="I92" s="29" t="n">
        <v>4</v>
      </c>
      <c r="J92" s="29" t="inlineStr">
        <is>
          <t>8-10</t>
        </is>
      </c>
      <c r="K92" s="29" t="inlineStr"/>
      <c r="L92" s="29" t="inlineStr"/>
      <c r="M92" s="31" t="inlineStr"/>
      <c r="N92" s="36" t="inlineStr"/>
      <c r="O92" s="12" t="inlineStr"/>
      <c r="P92" s="14" t="inlineStr"/>
    </row>
    <row r="93" ht="22" customHeight="1">
      <c r="A93" s="37" t="n">
        <v>4</v>
      </c>
      <c r="B93" s="44" t="inlineStr">
        <is>
          <t>Accumulation Peak</t>
        </is>
      </c>
      <c r="C93" s="38" t="n">
        <v>4</v>
      </c>
      <c r="D93" s="39" t="inlineStr">
        <is>
          <t>Friday — Bench variant / upper body</t>
        </is>
      </c>
      <c r="E93" s="40" t="n">
        <v>3</v>
      </c>
      <c r="F93" s="39" t="inlineStr">
        <is>
          <t>Lat pulldown</t>
        </is>
      </c>
      <c r="G93" s="40" t="inlineStr">
        <is>
          <t>Accessory</t>
        </is>
      </c>
      <c r="H93" s="40" t="inlineStr">
        <is>
          <t>-</t>
        </is>
      </c>
      <c r="I93" s="38" t="n">
        <v>3</v>
      </c>
      <c r="J93" s="38" t="inlineStr">
        <is>
          <t>10-12</t>
        </is>
      </c>
      <c r="K93" s="38" t="inlineStr"/>
      <c r="L93" s="29" t="inlineStr"/>
      <c r="M93" s="40" t="inlineStr"/>
      <c r="N93" s="36" t="inlineStr"/>
      <c r="O93" s="12" t="inlineStr"/>
      <c r="P93" s="14" t="inlineStr"/>
    </row>
    <row r="94" ht="22" customHeight="1">
      <c r="A94" s="27" t="n">
        <v>4</v>
      </c>
      <c r="B94" s="44" t="inlineStr">
        <is>
          <t>Accumulation Peak</t>
        </is>
      </c>
      <c r="C94" s="29" t="n">
        <v>4</v>
      </c>
      <c r="D94" s="30" t="inlineStr">
        <is>
          <t>Friday — Bench variant / upper body</t>
        </is>
      </c>
      <c r="E94" s="31" t="n">
        <v>4</v>
      </c>
      <c r="F94" s="30" t="inlineStr">
        <is>
          <t>Lateral raise</t>
        </is>
      </c>
      <c r="G94" s="31" t="inlineStr">
        <is>
          <t>Accessory</t>
        </is>
      </c>
      <c r="H94" s="31" t="inlineStr">
        <is>
          <t>-</t>
        </is>
      </c>
      <c r="I94" s="29" t="n">
        <v>3</v>
      </c>
      <c r="J94" s="29" t="inlineStr">
        <is>
          <t>15</t>
        </is>
      </c>
      <c r="K94" s="29" t="inlineStr"/>
      <c r="L94" s="29" t="inlineStr"/>
      <c r="M94" s="31" t="inlineStr"/>
      <c r="N94" s="36" t="inlineStr"/>
      <c r="O94" s="12" t="inlineStr"/>
      <c r="P94" s="14" t="inlineStr"/>
    </row>
    <row r="95" ht="22" customHeight="1">
      <c r="A95" s="37" t="n">
        <v>4</v>
      </c>
      <c r="B95" s="44" t="inlineStr">
        <is>
          <t>Accumulation Peak</t>
        </is>
      </c>
      <c r="C95" s="38" t="n">
        <v>4</v>
      </c>
      <c r="D95" s="39" t="inlineStr">
        <is>
          <t>Friday — Bench variant / upper body</t>
        </is>
      </c>
      <c r="E95" s="40" t="n">
        <v>5</v>
      </c>
      <c r="F95" s="39" t="inlineStr">
        <is>
          <t>Curl</t>
        </is>
      </c>
      <c r="G95" s="40" t="inlineStr">
        <is>
          <t>Accessory</t>
        </is>
      </c>
      <c r="H95" s="40" t="inlineStr">
        <is>
          <t>-</t>
        </is>
      </c>
      <c r="I95" s="38" t="n">
        <v>3</v>
      </c>
      <c r="J95" s="38" t="inlineStr">
        <is>
          <t>12</t>
        </is>
      </c>
      <c r="K95" s="38" t="inlineStr"/>
      <c r="L95" s="29" t="inlineStr"/>
      <c r="M95" s="40" t="inlineStr"/>
      <c r="N95" s="36" t="inlineStr"/>
      <c r="O95" s="12" t="inlineStr"/>
      <c r="P95" s="14" t="inlineStr"/>
    </row>
    <row r="96" ht="22" customHeight="1">
      <c r="A96" s="27" t="n">
        <v>4</v>
      </c>
      <c r="B96" s="44" t="inlineStr">
        <is>
          <t>Accumulation Peak</t>
        </is>
      </c>
      <c r="C96" s="29" t="n">
        <v>4</v>
      </c>
      <c r="D96" s="30" t="inlineStr">
        <is>
          <t>Friday — Bench variant / upper body</t>
        </is>
      </c>
      <c r="E96" s="31" t="n">
        <v>6</v>
      </c>
      <c r="F96" s="30" t="inlineStr">
        <is>
          <t>Pallof press</t>
        </is>
      </c>
      <c r="G96" s="31" t="inlineStr">
        <is>
          <t>Accessory</t>
        </is>
      </c>
      <c r="H96" s="31" t="inlineStr">
        <is>
          <t>-</t>
        </is>
      </c>
      <c r="I96" s="29" t="n">
        <v>3</v>
      </c>
      <c r="J96" s="29" t="inlineStr">
        <is>
          <t>10/side</t>
        </is>
      </c>
      <c r="K96" s="29" t="inlineStr"/>
      <c r="L96" s="29" t="inlineStr"/>
      <c r="M96" s="31" t="inlineStr"/>
      <c r="N96" s="36" t="inlineStr"/>
      <c r="O96" s="12" t="inlineStr"/>
      <c r="P96" s="14" t="inlineStr"/>
    </row>
    <row r="97" ht="22" customHeight="1">
      <c r="A97" s="27" t="n">
        <v>4</v>
      </c>
      <c r="B97" s="44" t="inlineStr">
        <is>
          <t>Accumulation Peak</t>
        </is>
      </c>
      <c r="C97" s="29" t="n">
        <v>5</v>
      </c>
      <c r="D97" s="30" t="inlineStr">
        <is>
          <t>Saturday — Squat variant + Rack Pull</t>
        </is>
      </c>
      <c r="E97" s="31" t="n">
        <v>1</v>
      </c>
      <c r="F97" s="32" t="inlineStr">
        <is>
          <t>Paused squat</t>
        </is>
      </c>
      <c r="G97" s="33" t="inlineStr">
        <is>
          <t>Main Lift</t>
        </is>
      </c>
      <c r="H97" s="31" t="inlineStr">
        <is>
          <t>SQUAT</t>
        </is>
      </c>
      <c r="I97" s="27" t="n">
        <v>3</v>
      </c>
      <c r="J97" s="27" t="inlineStr">
        <is>
          <t>3</t>
        </is>
      </c>
      <c r="K97" s="34" t="n">
        <v>0.72</v>
      </c>
      <c r="L97" s="35">
        <f>ROUND('Setup &amp; Dashboard'!$E$7*0.72/5, 0)*5</f>
        <v/>
      </c>
      <c r="M97" s="27" t="inlineStr">
        <is>
          <t>RPE 7-8</t>
        </is>
      </c>
      <c r="N97" s="36" t="inlineStr"/>
      <c r="O97" s="12" t="inlineStr"/>
      <c r="P97" s="14" t="inlineStr"/>
    </row>
    <row r="98" ht="22" customHeight="1">
      <c r="A98" s="27" t="n">
        <v>4</v>
      </c>
      <c r="B98" s="44" t="inlineStr">
        <is>
          <t>Accumulation Peak</t>
        </is>
      </c>
      <c r="C98" s="29" t="n">
        <v>5</v>
      </c>
      <c r="D98" s="30" t="inlineStr">
        <is>
          <t>Saturday — Squat variant + Rack Pull</t>
        </is>
      </c>
      <c r="E98" s="31" t="n">
        <v>2</v>
      </c>
      <c r="F98" s="32" t="inlineStr">
        <is>
          <t>Rack pull</t>
        </is>
      </c>
      <c r="G98" s="33" t="inlineStr">
        <is>
          <t>Main Lift</t>
        </is>
      </c>
      <c r="H98" s="31" t="inlineStr">
        <is>
          <t>RACKPULL</t>
        </is>
      </c>
      <c r="I98" s="27" t="n">
        <v>5</v>
      </c>
      <c r="J98" s="27" t="inlineStr">
        <is>
          <t>3</t>
        </is>
      </c>
      <c r="K98" s="34" t="n">
        <v>0.78</v>
      </c>
      <c r="L98" s="35">
        <f>ROUND('Setup &amp; Dashboard'!$E$10*0.78/5, 0)*5</f>
        <v/>
      </c>
      <c r="M98" s="27" t="inlineStr">
        <is>
          <t>RPE 8</t>
        </is>
      </c>
      <c r="N98" s="36" t="inlineStr"/>
      <c r="O98" s="12" t="inlineStr"/>
      <c r="P98" s="14" t="inlineStr"/>
    </row>
    <row r="99" ht="22" customHeight="1">
      <c r="A99" s="37" t="n">
        <v>4</v>
      </c>
      <c r="B99" s="44" t="inlineStr">
        <is>
          <t>Accumulation Peak</t>
        </is>
      </c>
      <c r="C99" s="38" t="n">
        <v>5</v>
      </c>
      <c r="D99" s="39" t="inlineStr">
        <is>
          <t>Saturday — Squat variant + Rack Pull</t>
        </is>
      </c>
      <c r="E99" s="40" t="n">
        <v>3</v>
      </c>
      <c r="F99" s="39" t="inlineStr">
        <is>
          <t>Reverse hyper</t>
        </is>
      </c>
      <c r="G99" s="40" t="inlineStr">
        <is>
          <t>Accessory</t>
        </is>
      </c>
      <c r="H99" s="40" t="inlineStr">
        <is>
          <t>-</t>
        </is>
      </c>
      <c r="I99" s="38" t="n">
        <v>2</v>
      </c>
      <c r="J99" s="38" t="inlineStr">
        <is>
          <t>12</t>
        </is>
      </c>
      <c r="K99" s="38" t="inlineStr"/>
      <c r="L99" s="29" t="inlineStr"/>
      <c r="M99" s="40" t="inlineStr"/>
      <c r="N99" s="36" t="inlineStr"/>
      <c r="O99" s="12" t="inlineStr"/>
      <c r="P99" s="14" t="inlineStr"/>
    </row>
    <row r="100" ht="22" customHeight="1">
      <c r="A100" s="27" t="n">
        <v>4</v>
      </c>
      <c r="B100" s="44" t="inlineStr">
        <is>
          <t>Accumulation Peak</t>
        </is>
      </c>
      <c r="C100" s="29" t="n">
        <v>5</v>
      </c>
      <c r="D100" s="30" t="inlineStr">
        <is>
          <t>Saturday — Squat variant + Rack Pull</t>
        </is>
      </c>
      <c r="E100" s="31" t="n">
        <v>4</v>
      </c>
      <c r="F100" s="30" t="inlineStr">
        <is>
          <t>GHR or Nordic curl</t>
        </is>
      </c>
      <c r="G100" s="31" t="inlineStr">
        <is>
          <t>Accessory</t>
        </is>
      </c>
      <c r="H100" s="31" t="inlineStr">
        <is>
          <t>-</t>
        </is>
      </c>
      <c r="I100" s="29" t="n">
        <v>3</v>
      </c>
      <c r="J100" s="29" t="inlineStr">
        <is>
          <t>8</t>
        </is>
      </c>
      <c r="K100" s="29" t="inlineStr"/>
      <c r="L100" s="29" t="inlineStr"/>
      <c r="M100" s="31" t="inlineStr"/>
      <c r="N100" s="36" t="inlineStr"/>
      <c r="O100" s="12" t="inlineStr"/>
      <c r="P100" s="14" t="inlineStr"/>
    </row>
    <row r="101" ht="22" customHeight="1">
      <c r="A101" s="27" t="n">
        <v>5</v>
      </c>
      <c r="B101" s="45" t="inlineStr">
        <is>
          <t>Deload</t>
        </is>
      </c>
      <c r="C101" s="29" t="n">
        <v>1</v>
      </c>
      <c r="D101" s="30" t="inlineStr">
        <is>
          <t>Monday — Squat</t>
        </is>
      </c>
      <c r="E101" s="31" t="n">
        <v>1</v>
      </c>
      <c r="F101" s="32" t="inlineStr">
        <is>
          <t>Squat</t>
        </is>
      </c>
      <c r="G101" s="33" t="inlineStr">
        <is>
          <t>Main Lift</t>
        </is>
      </c>
      <c r="H101" s="31" t="inlineStr">
        <is>
          <t>SQUAT</t>
        </is>
      </c>
      <c r="I101" s="27" t="n">
        <v>3</v>
      </c>
      <c r="J101" s="27" t="inlineStr">
        <is>
          <t>3</t>
        </is>
      </c>
      <c r="K101" s="34" t="n">
        <v>0.6</v>
      </c>
      <c r="L101" s="35">
        <f>ROUND('Setup &amp; Dashboard'!$E$7*0.6/5, 0)*5</f>
        <v/>
      </c>
      <c r="M101" s="27" t="inlineStr">
        <is>
          <t>RPE 6</t>
        </is>
      </c>
      <c r="N101" s="36" t="inlineStr"/>
      <c r="O101" s="12" t="inlineStr"/>
      <c r="P101" s="14" t="inlineStr"/>
    </row>
    <row r="102" ht="22" customHeight="1">
      <c r="A102" s="27" t="n">
        <v>5</v>
      </c>
      <c r="B102" s="45" t="inlineStr">
        <is>
          <t>Deload</t>
        </is>
      </c>
      <c r="C102" s="29" t="n">
        <v>1</v>
      </c>
      <c r="D102" s="30" t="inlineStr">
        <is>
          <t>Monday — Squat</t>
        </is>
      </c>
      <c r="E102" s="31" t="n">
        <v>2</v>
      </c>
      <c r="F102" s="30" t="inlineStr">
        <is>
          <t>Split squat</t>
        </is>
      </c>
      <c r="G102" s="31" t="inlineStr">
        <is>
          <t>Accessory</t>
        </is>
      </c>
      <c r="H102" s="31" t="inlineStr">
        <is>
          <t>-</t>
        </is>
      </c>
      <c r="I102" s="29" t="n">
        <v>2</v>
      </c>
      <c r="J102" s="29" t="inlineStr">
        <is>
          <t>8/leg</t>
        </is>
      </c>
      <c r="K102" s="29" t="inlineStr"/>
      <c r="L102" s="29" t="inlineStr"/>
      <c r="M102" s="31" t="inlineStr"/>
      <c r="N102" s="36" t="inlineStr"/>
      <c r="O102" s="12" t="inlineStr"/>
      <c r="P102" s="14" t="inlineStr"/>
    </row>
    <row r="103" ht="22" customHeight="1">
      <c r="A103" s="37" t="n">
        <v>5</v>
      </c>
      <c r="B103" s="45" t="inlineStr">
        <is>
          <t>Deload</t>
        </is>
      </c>
      <c r="C103" s="38" t="n">
        <v>1</v>
      </c>
      <c r="D103" s="39" t="inlineStr">
        <is>
          <t>Monday — Squat</t>
        </is>
      </c>
      <c r="E103" s="40" t="n">
        <v>3</v>
      </c>
      <c r="F103" s="39" t="inlineStr">
        <is>
          <t>Leg curl</t>
        </is>
      </c>
      <c r="G103" s="40" t="inlineStr">
        <is>
          <t>Accessory</t>
        </is>
      </c>
      <c r="H103" s="40" t="inlineStr">
        <is>
          <t>-</t>
        </is>
      </c>
      <c r="I103" s="38" t="n">
        <v>2</v>
      </c>
      <c r="J103" s="38" t="inlineStr">
        <is>
          <t>10</t>
        </is>
      </c>
      <c r="K103" s="38" t="inlineStr"/>
      <c r="L103" s="29" t="inlineStr"/>
      <c r="M103" s="40" t="inlineStr"/>
      <c r="N103" s="36" t="inlineStr"/>
      <c r="O103" s="12" t="inlineStr"/>
      <c r="P103" s="14" t="inlineStr"/>
    </row>
    <row r="104" ht="22" customHeight="1">
      <c r="A104" s="27" t="n">
        <v>5</v>
      </c>
      <c r="B104" s="45" t="inlineStr">
        <is>
          <t>Deload</t>
        </is>
      </c>
      <c r="C104" s="29" t="n">
        <v>1</v>
      </c>
      <c r="D104" s="30" t="inlineStr">
        <is>
          <t>Monday — Squat</t>
        </is>
      </c>
      <c r="E104" s="31" t="n">
        <v>4</v>
      </c>
      <c r="F104" s="30" t="inlineStr">
        <is>
          <t>Copenhagen plank</t>
        </is>
      </c>
      <c r="G104" s="31" t="inlineStr">
        <is>
          <t>Accessory</t>
        </is>
      </c>
      <c r="H104" s="31" t="inlineStr">
        <is>
          <t>-</t>
        </is>
      </c>
      <c r="I104" s="29" t="n">
        <v>2</v>
      </c>
      <c r="J104" s="29" t="inlineStr">
        <is>
          <t>15sec/side</t>
        </is>
      </c>
      <c r="K104" s="29" t="inlineStr"/>
      <c r="L104" s="29" t="inlineStr"/>
      <c r="M104" s="31" t="inlineStr"/>
      <c r="N104" s="36" t="inlineStr"/>
      <c r="O104" s="12" t="inlineStr"/>
      <c r="P104" s="14" t="inlineStr"/>
    </row>
    <row r="105" ht="22" customHeight="1">
      <c r="A105" s="27" t="n">
        <v>5</v>
      </c>
      <c r="B105" s="45" t="inlineStr">
        <is>
          <t>Deload</t>
        </is>
      </c>
      <c r="C105" s="29" t="n">
        <v>2</v>
      </c>
      <c r="D105" s="30" t="inlineStr">
        <is>
          <t>Tuesday — Bench</t>
        </is>
      </c>
      <c r="E105" s="31" t="n">
        <v>1</v>
      </c>
      <c r="F105" s="32" t="inlineStr">
        <is>
          <t>Bench</t>
        </is>
      </c>
      <c r="G105" s="33" t="inlineStr">
        <is>
          <t>Main Lift</t>
        </is>
      </c>
      <c r="H105" s="31" t="inlineStr">
        <is>
          <t>BENCH</t>
        </is>
      </c>
      <c r="I105" s="27" t="n">
        <v>3</v>
      </c>
      <c r="J105" s="27" t="inlineStr">
        <is>
          <t>3</t>
        </is>
      </c>
      <c r="K105" s="34" t="n">
        <v>0.6</v>
      </c>
      <c r="L105" s="35">
        <f>ROUND('Setup &amp; Dashboard'!$E$8*0.6/5, 0)*5</f>
        <v/>
      </c>
      <c r="M105" s="27" t="inlineStr">
        <is>
          <t>RPE 6</t>
        </is>
      </c>
      <c r="N105" s="36" t="inlineStr"/>
      <c r="O105" s="12" t="inlineStr"/>
      <c r="P105" s="14" t="inlineStr"/>
    </row>
    <row r="106" ht="22" customHeight="1">
      <c r="A106" s="27" t="n">
        <v>5</v>
      </c>
      <c r="B106" s="45" t="inlineStr">
        <is>
          <t>Deload</t>
        </is>
      </c>
      <c r="C106" s="29" t="n">
        <v>2</v>
      </c>
      <c r="D106" s="30" t="inlineStr">
        <is>
          <t>Tuesday — Bench</t>
        </is>
      </c>
      <c r="E106" s="31" t="n">
        <v>2</v>
      </c>
      <c r="F106" s="30" t="inlineStr">
        <is>
          <t>Close-grip bench</t>
        </is>
      </c>
      <c r="G106" s="31" t="inlineStr">
        <is>
          <t>Accessory</t>
        </is>
      </c>
      <c r="H106" s="31" t="inlineStr">
        <is>
          <t>-</t>
        </is>
      </c>
      <c r="I106" s="29" t="n">
        <v>2</v>
      </c>
      <c r="J106" s="29" t="inlineStr">
        <is>
          <t>5</t>
        </is>
      </c>
      <c r="K106" s="29" t="inlineStr"/>
      <c r="L106" s="29" t="inlineStr"/>
      <c r="M106" s="31" t="inlineStr"/>
      <c r="N106" s="36" t="inlineStr"/>
      <c r="O106" s="12" t="inlineStr"/>
      <c r="P106" s="14" t="inlineStr"/>
    </row>
    <row r="107" ht="22" customHeight="1">
      <c r="A107" s="37" t="n">
        <v>5</v>
      </c>
      <c r="B107" s="45" t="inlineStr">
        <is>
          <t>Deload</t>
        </is>
      </c>
      <c r="C107" s="38" t="n">
        <v>2</v>
      </c>
      <c r="D107" s="39" t="inlineStr">
        <is>
          <t>Tuesday — Bench</t>
        </is>
      </c>
      <c r="E107" s="40" t="n">
        <v>3</v>
      </c>
      <c r="F107" s="39" t="inlineStr">
        <is>
          <t>Incline DB press</t>
        </is>
      </c>
      <c r="G107" s="40" t="inlineStr">
        <is>
          <t>Accessory</t>
        </is>
      </c>
      <c r="H107" s="40" t="inlineStr">
        <is>
          <t>-</t>
        </is>
      </c>
      <c r="I107" s="38" t="n">
        <v>2</v>
      </c>
      <c r="J107" s="38" t="inlineStr">
        <is>
          <t>10</t>
        </is>
      </c>
      <c r="K107" s="38" t="inlineStr"/>
      <c r="L107" s="29" t="inlineStr"/>
      <c r="M107" s="40" t="inlineStr"/>
      <c r="N107" s="36" t="inlineStr"/>
      <c r="O107" s="12" t="inlineStr"/>
      <c r="P107" s="14" t="inlineStr"/>
    </row>
    <row r="108" ht="22" customHeight="1">
      <c r="A108" s="27" t="n">
        <v>5</v>
      </c>
      <c r="B108" s="45" t="inlineStr">
        <is>
          <t>Deload</t>
        </is>
      </c>
      <c r="C108" s="29" t="n">
        <v>2</v>
      </c>
      <c r="D108" s="30" t="inlineStr">
        <is>
          <t>Tuesday — Bench</t>
        </is>
      </c>
      <c r="E108" s="31" t="n">
        <v>4</v>
      </c>
      <c r="F108" s="30" t="inlineStr">
        <is>
          <t>Face pull</t>
        </is>
      </c>
      <c r="G108" s="31" t="inlineStr">
        <is>
          <t>Accessory</t>
        </is>
      </c>
      <c r="H108" s="31" t="inlineStr">
        <is>
          <t>-</t>
        </is>
      </c>
      <c r="I108" s="29" t="n">
        <v>2</v>
      </c>
      <c r="J108" s="29" t="inlineStr">
        <is>
          <t>15</t>
        </is>
      </c>
      <c r="K108" s="29" t="inlineStr"/>
      <c r="L108" s="29" t="inlineStr"/>
      <c r="M108" s="31" t="inlineStr"/>
      <c r="N108" s="36" t="inlineStr"/>
      <c r="O108" s="12" t="inlineStr"/>
      <c r="P108" s="14" t="inlineStr"/>
    </row>
    <row r="109" ht="22" customHeight="1">
      <c r="A109" s="37" t="n">
        <v>5</v>
      </c>
      <c r="B109" s="45" t="inlineStr">
        <is>
          <t>Deload</t>
        </is>
      </c>
      <c r="C109" s="38" t="n">
        <v>2</v>
      </c>
      <c r="D109" s="39" t="inlineStr">
        <is>
          <t>Tuesday — Bench</t>
        </is>
      </c>
      <c r="E109" s="40" t="n">
        <v>5</v>
      </c>
      <c r="F109" s="39" t="inlineStr">
        <is>
          <t>Pallof press</t>
        </is>
      </c>
      <c r="G109" s="40" t="inlineStr">
        <is>
          <t>Accessory</t>
        </is>
      </c>
      <c r="H109" s="40" t="inlineStr">
        <is>
          <t>-</t>
        </is>
      </c>
      <c r="I109" s="38" t="n">
        <v>2</v>
      </c>
      <c r="J109" s="38" t="inlineStr">
        <is>
          <t>8/side</t>
        </is>
      </c>
      <c r="K109" s="38" t="inlineStr"/>
      <c r="L109" s="29" t="inlineStr"/>
      <c r="M109" s="40" t="inlineStr"/>
      <c r="N109" s="36" t="inlineStr"/>
      <c r="O109" s="12" t="inlineStr"/>
      <c r="P109" s="14" t="inlineStr"/>
    </row>
    <row r="110" ht="22" customHeight="1">
      <c r="A110" s="27" t="n">
        <v>5</v>
      </c>
      <c r="B110" s="45" t="inlineStr">
        <is>
          <t>Deload</t>
        </is>
      </c>
      <c r="C110" s="29" t="n">
        <v>3</v>
      </c>
      <c r="D110" s="30" t="inlineStr">
        <is>
          <t>Thursday — Deadlift</t>
        </is>
      </c>
      <c r="E110" s="31" t="n">
        <v>1</v>
      </c>
      <c r="F110" s="32" t="inlineStr">
        <is>
          <t>Deadlift</t>
        </is>
      </c>
      <c r="G110" s="33" t="inlineStr">
        <is>
          <t>Main Lift</t>
        </is>
      </c>
      <c r="H110" s="31" t="inlineStr">
        <is>
          <t>DEADLIFT</t>
        </is>
      </c>
      <c r="I110" s="27" t="n">
        <v>2</v>
      </c>
      <c r="J110" s="27" t="inlineStr">
        <is>
          <t>3</t>
        </is>
      </c>
      <c r="K110" s="34" t="n">
        <v>0.55</v>
      </c>
      <c r="L110" s="35">
        <f>ROUND('Setup &amp; Dashboard'!$E$9*0.55/5, 0)*5</f>
        <v/>
      </c>
      <c r="M110" s="27" t="inlineStr">
        <is>
          <t>RPE 6</t>
        </is>
      </c>
      <c r="N110" s="36" t="inlineStr"/>
      <c r="O110" s="12" t="inlineStr"/>
      <c r="P110" s="14" t="inlineStr"/>
    </row>
    <row r="111" ht="22" customHeight="1">
      <c r="A111" s="37" t="n">
        <v>5</v>
      </c>
      <c r="B111" s="45" t="inlineStr">
        <is>
          <t>Deload</t>
        </is>
      </c>
      <c r="C111" s="38" t="n">
        <v>3</v>
      </c>
      <c r="D111" s="39" t="inlineStr">
        <is>
          <t>Thursday — Deadlift</t>
        </is>
      </c>
      <c r="E111" s="40" t="n">
        <v>2</v>
      </c>
      <c r="F111" s="39" t="inlineStr">
        <is>
          <t>Reverse hyper</t>
        </is>
      </c>
      <c r="G111" s="40" t="inlineStr">
        <is>
          <t>Accessory</t>
        </is>
      </c>
      <c r="H111" s="40" t="inlineStr">
        <is>
          <t>-</t>
        </is>
      </c>
      <c r="I111" s="38" t="n">
        <v>2</v>
      </c>
      <c r="J111" s="38" t="inlineStr">
        <is>
          <t>12</t>
        </is>
      </c>
      <c r="K111" s="38" t="inlineStr"/>
      <c r="L111" s="29" t="inlineStr"/>
      <c r="M111" s="40" t="inlineStr"/>
      <c r="N111" s="36" t="inlineStr"/>
      <c r="O111" s="12" t="inlineStr"/>
      <c r="P111" s="14" t="inlineStr"/>
    </row>
    <row r="112" ht="22" customHeight="1">
      <c r="A112" s="27" t="n">
        <v>5</v>
      </c>
      <c r="B112" s="45" t="inlineStr">
        <is>
          <t>Deload</t>
        </is>
      </c>
      <c r="C112" s="29" t="n">
        <v>3</v>
      </c>
      <c r="D112" s="30" t="inlineStr">
        <is>
          <t>Thursday — Deadlift</t>
        </is>
      </c>
      <c r="E112" s="31" t="n">
        <v>3</v>
      </c>
      <c r="F112" s="30" t="inlineStr">
        <is>
          <t>Jefferson curl</t>
        </is>
      </c>
      <c r="G112" s="31" t="inlineStr">
        <is>
          <t>Accessory</t>
        </is>
      </c>
      <c r="H112" s="31" t="inlineStr">
        <is>
          <t>-</t>
        </is>
      </c>
      <c r="I112" s="29" t="n">
        <v>1</v>
      </c>
      <c r="J112" s="29" t="inlineStr">
        <is>
          <t>6</t>
        </is>
      </c>
      <c r="K112" s="29" t="inlineStr"/>
      <c r="L112" s="29" t="inlineStr"/>
      <c r="M112" s="31" t="inlineStr"/>
      <c r="N112" s="36" t="inlineStr"/>
      <c r="O112" s="12" t="inlineStr"/>
      <c r="P112" s="14" t="inlineStr"/>
    </row>
    <row r="113" ht="22" customHeight="1">
      <c r="A113" s="27" t="n">
        <v>5</v>
      </c>
      <c r="B113" s="45" t="inlineStr">
        <is>
          <t>Deload</t>
        </is>
      </c>
      <c r="C113" s="29" t="n">
        <v>4</v>
      </c>
      <c r="D113" s="30" t="inlineStr">
        <is>
          <t>Friday — Bench variant / upper body</t>
        </is>
      </c>
      <c r="E113" s="31" t="n">
        <v>1</v>
      </c>
      <c r="F113" s="32" t="inlineStr">
        <is>
          <t>Light paused bench</t>
        </is>
      </c>
      <c r="G113" s="33" t="inlineStr">
        <is>
          <t>Main Lift</t>
        </is>
      </c>
      <c r="H113" s="31" t="inlineStr">
        <is>
          <t>BENCH</t>
        </is>
      </c>
      <c r="I113" s="27" t="n">
        <v>3</v>
      </c>
      <c r="J113" s="27" t="inlineStr">
        <is>
          <t>3</t>
        </is>
      </c>
      <c r="K113" s="34" t="n">
        <v>0.55</v>
      </c>
      <c r="L113" s="35">
        <f>ROUND('Setup &amp; Dashboard'!$E$8*0.55/5, 0)*5</f>
        <v/>
      </c>
      <c r="M113" s="27" t="inlineStr">
        <is>
          <t>RPE 6</t>
        </is>
      </c>
      <c r="N113" s="36" t="inlineStr"/>
      <c r="O113" s="12" t="inlineStr"/>
      <c r="P113" s="14" t="inlineStr"/>
    </row>
    <row r="114" ht="22" customHeight="1">
      <c r="A114" s="27" t="n">
        <v>5</v>
      </c>
      <c r="B114" s="45" t="inlineStr">
        <is>
          <t>Deload</t>
        </is>
      </c>
      <c r="C114" s="29" t="n">
        <v>4</v>
      </c>
      <c r="D114" s="30" t="inlineStr">
        <is>
          <t>Friday — Bench variant / upper body</t>
        </is>
      </c>
      <c r="E114" s="31" t="n">
        <v>2</v>
      </c>
      <c r="F114" s="30" t="inlineStr">
        <is>
          <t>Chest-supported row</t>
        </is>
      </c>
      <c r="G114" s="31" t="inlineStr">
        <is>
          <t>Accessory</t>
        </is>
      </c>
      <c r="H114" s="31" t="inlineStr">
        <is>
          <t>-</t>
        </is>
      </c>
      <c r="I114" s="29" t="n">
        <v>2</v>
      </c>
      <c r="J114" s="29" t="inlineStr">
        <is>
          <t>10</t>
        </is>
      </c>
      <c r="K114" s="29" t="inlineStr"/>
      <c r="L114" s="29" t="inlineStr"/>
      <c r="M114" s="31" t="inlineStr"/>
      <c r="N114" s="36" t="inlineStr"/>
      <c r="O114" s="12" t="inlineStr"/>
      <c r="P114" s="14" t="inlineStr"/>
    </row>
    <row r="115" ht="22" customHeight="1">
      <c r="A115" s="37" t="n">
        <v>5</v>
      </c>
      <c r="B115" s="45" t="inlineStr">
        <is>
          <t>Deload</t>
        </is>
      </c>
      <c r="C115" s="38" t="n">
        <v>4</v>
      </c>
      <c r="D115" s="39" t="inlineStr">
        <is>
          <t>Friday — Bench variant / upper body</t>
        </is>
      </c>
      <c r="E115" s="40" t="n">
        <v>3</v>
      </c>
      <c r="F115" s="39" t="inlineStr">
        <is>
          <t>Lat pulldown</t>
        </is>
      </c>
      <c r="G115" s="40" t="inlineStr">
        <is>
          <t>Accessory</t>
        </is>
      </c>
      <c r="H115" s="40" t="inlineStr">
        <is>
          <t>-</t>
        </is>
      </c>
      <c r="I115" s="38" t="n">
        <v>2</v>
      </c>
      <c r="J115" s="38" t="inlineStr">
        <is>
          <t>10</t>
        </is>
      </c>
      <c r="K115" s="38" t="inlineStr"/>
      <c r="L115" s="29" t="inlineStr"/>
      <c r="M115" s="40" t="inlineStr"/>
      <c r="N115" s="36" t="inlineStr"/>
      <c r="O115" s="12" t="inlineStr"/>
      <c r="P115" s="14" t="inlineStr"/>
    </row>
    <row r="116" ht="22" customHeight="1">
      <c r="A116" s="27" t="n">
        <v>5</v>
      </c>
      <c r="B116" s="45" t="inlineStr">
        <is>
          <t>Deload</t>
        </is>
      </c>
      <c r="C116" s="29" t="n">
        <v>4</v>
      </c>
      <c r="D116" s="30" t="inlineStr">
        <is>
          <t>Friday — Bench variant / upper body</t>
        </is>
      </c>
      <c r="E116" s="31" t="n">
        <v>4</v>
      </c>
      <c r="F116" s="30" t="inlineStr">
        <is>
          <t>Lateral raise</t>
        </is>
      </c>
      <c r="G116" s="31" t="inlineStr">
        <is>
          <t>Accessory</t>
        </is>
      </c>
      <c r="H116" s="31" t="inlineStr">
        <is>
          <t>-</t>
        </is>
      </c>
      <c r="I116" s="29" t="n">
        <v>2</v>
      </c>
      <c r="J116" s="29" t="inlineStr">
        <is>
          <t>15</t>
        </is>
      </c>
      <c r="K116" s="29" t="inlineStr"/>
      <c r="L116" s="29" t="inlineStr"/>
      <c r="M116" s="31" t="inlineStr"/>
      <c r="N116" s="36" t="inlineStr"/>
      <c r="O116" s="12" t="inlineStr"/>
      <c r="P116" s="14" t="inlineStr"/>
    </row>
    <row r="117" ht="22" customHeight="1">
      <c r="A117" s="37" t="n">
        <v>5</v>
      </c>
      <c r="B117" s="45" t="inlineStr">
        <is>
          <t>Deload</t>
        </is>
      </c>
      <c r="C117" s="38" t="n">
        <v>4</v>
      </c>
      <c r="D117" s="39" t="inlineStr">
        <is>
          <t>Friday — Bench variant / upper body</t>
        </is>
      </c>
      <c r="E117" s="40" t="n">
        <v>5</v>
      </c>
      <c r="F117" s="39" t="inlineStr">
        <is>
          <t>Curl</t>
        </is>
      </c>
      <c r="G117" s="40" t="inlineStr">
        <is>
          <t>Accessory</t>
        </is>
      </c>
      <c r="H117" s="40" t="inlineStr">
        <is>
          <t>-</t>
        </is>
      </c>
      <c r="I117" s="38" t="n">
        <v>2</v>
      </c>
      <c r="J117" s="38" t="inlineStr">
        <is>
          <t>10</t>
        </is>
      </c>
      <c r="K117" s="38" t="inlineStr"/>
      <c r="L117" s="29" t="inlineStr"/>
      <c r="M117" s="40" t="inlineStr"/>
      <c r="N117" s="36" t="inlineStr"/>
      <c r="O117" s="12" t="inlineStr"/>
      <c r="P117" s="14" t="inlineStr"/>
    </row>
    <row r="118" ht="22" customHeight="1">
      <c r="A118" s="27" t="n">
        <v>5</v>
      </c>
      <c r="B118" s="45" t="inlineStr">
        <is>
          <t>Deload</t>
        </is>
      </c>
      <c r="C118" s="29" t="n">
        <v>5</v>
      </c>
      <c r="D118" s="30" t="inlineStr">
        <is>
          <t>Saturday — Squat variant + Rack Pull</t>
        </is>
      </c>
      <c r="E118" s="31" t="n">
        <v>1</v>
      </c>
      <c r="F118" s="32" t="inlineStr">
        <is>
          <t>Light technique squat</t>
        </is>
      </c>
      <c r="G118" s="33" t="inlineStr">
        <is>
          <t>Main Lift</t>
        </is>
      </c>
      <c r="H118" s="31" t="inlineStr">
        <is>
          <t>SQUAT</t>
        </is>
      </c>
      <c r="I118" s="27" t="n">
        <v>2</v>
      </c>
      <c r="J118" s="27" t="inlineStr">
        <is>
          <t>3</t>
        </is>
      </c>
      <c r="K118" s="34" t="n">
        <v>0.55</v>
      </c>
      <c r="L118" s="35">
        <f>ROUND('Setup &amp; Dashboard'!$E$7*0.55/5, 0)*5</f>
        <v/>
      </c>
      <c r="M118" s="31" t="inlineStr"/>
      <c r="N118" s="36" t="inlineStr"/>
      <c r="O118" s="12" t="inlineStr"/>
      <c r="P118" s="14" t="inlineStr"/>
    </row>
    <row r="119" ht="22" customHeight="1">
      <c r="A119" s="27" t="n">
        <v>5</v>
      </c>
      <c r="B119" s="45" t="inlineStr">
        <is>
          <t>Deload</t>
        </is>
      </c>
      <c r="C119" s="29" t="n">
        <v>5</v>
      </c>
      <c r="D119" s="30" t="inlineStr">
        <is>
          <t>Saturday — Squat variant + Rack Pull</t>
        </is>
      </c>
      <c r="E119" s="31" t="n">
        <v>2</v>
      </c>
      <c r="F119" s="32" t="inlineStr">
        <is>
          <t>Rack pull</t>
        </is>
      </c>
      <c r="G119" s="33" t="inlineStr">
        <is>
          <t>Main Lift</t>
        </is>
      </c>
      <c r="H119" s="31" t="inlineStr">
        <is>
          <t>RACKPULL</t>
        </is>
      </c>
      <c r="I119" s="27" t="n">
        <v>2</v>
      </c>
      <c r="J119" s="27" t="inlineStr">
        <is>
          <t>3</t>
        </is>
      </c>
      <c r="K119" s="34" t="n">
        <v>0.55</v>
      </c>
      <c r="L119" s="35">
        <f>ROUND('Setup &amp; Dashboard'!$E$10*0.55/5, 0)*5</f>
        <v/>
      </c>
      <c r="M119" s="31" t="inlineStr"/>
      <c r="N119" s="42" t="inlineStr">
        <is>
          <t>easy</t>
        </is>
      </c>
      <c r="O119" s="12" t="inlineStr"/>
      <c r="P119" s="14" t="inlineStr"/>
    </row>
    <row r="120" ht="22" customHeight="1">
      <c r="A120" s="27" t="n">
        <v>5</v>
      </c>
      <c r="B120" s="45" t="inlineStr">
        <is>
          <t>Deload</t>
        </is>
      </c>
      <c r="C120" s="29" t="n">
        <v>5</v>
      </c>
      <c r="D120" s="30" t="inlineStr">
        <is>
          <t>Saturday — Squat variant + Rack Pull</t>
        </is>
      </c>
      <c r="E120" s="31" t="n">
        <v>3</v>
      </c>
      <c r="F120" s="30" t="inlineStr">
        <is>
          <t>Reverse hyper</t>
        </is>
      </c>
      <c r="G120" s="31" t="inlineStr">
        <is>
          <t>Accessory</t>
        </is>
      </c>
      <c r="H120" s="31" t="inlineStr">
        <is>
          <t>-</t>
        </is>
      </c>
      <c r="I120" s="29" t="n">
        <v>1</v>
      </c>
      <c r="J120" s="29" t="inlineStr">
        <is>
          <t>12</t>
        </is>
      </c>
      <c r="K120" s="29" t="inlineStr"/>
      <c r="L120" s="29" t="inlineStr"/>
      <c r="M120" s="31" t="inlineStr"/>
      <c r="N120" s="36" t="inlineStr"/>
      <c r="O120" s="12" t="inlineStr"/>
      <c r="P120" s="14" t="inlineStr"/>
    </row>
    <row r="121" ht="22" customHeight="1">
      <c r="A121" s="27" t="n">
        <v>6</v>
      </c>
      <c r="B121" s="33" t="inlineStr">
        <is>
          <t>Intensification</t>
        </is>
      </c>
      <c r="C121" s="29" t="n">
        <v>1</v>
      </c>
      <c r="D121" s="30" t="inlineStr">
        <is>
          <t>Monday — Squat</t>
        </is>
      </c>
      <c r="E121" s="31" t="n">
        <v>1</v>
      </c>
      <c r="F121" s="32" t="inlineStr">
        <is>
          <t>Squat</t>
        </is>
      </c>
      <c r="G121" s="33" t="inlineStr">
        <is>
          <t>Main Lift</t>
        </is>
      </c>
      <c r="H121" s="31" t="inlineStr">
        <is>
          <t>SQUAT</t>
        </is>
      </c>
      <c r="I121" s="27" t="n">
        <v>5</v>
      </c>
      <c r="J121" s="27" t="inlineStr">
        <is>
          <t>3</t>
        </is>
      </c>
      <c r="K121" s="34" t="n">
        <v>0.83</v>
      </c>
      <c r="L121" s="35">
        <f>ROUND('Setup &amp; Dashboard'!$E$7*0.83/5, 0)*5</f>
        <v/>
      </c>
      <c r="M121" s="27" t="inlineStr">
        <is>
          <t>RPE 8</t>
        </is>
      </c>
      <c r="N121" s="36" t="inlineStr"/>
      <c r="O121" s="12" t="inlineStr"/>
      <c r="P121" s="14" t="inlineStr"/>
    </row>
    <row r="122" ht="22" customHeight="1">
      <c r="A122" s="27" t="n">
        <v>6</v>
      </c>
      <c r="B122" s="33" t="inlineStr">
        <is>
          <t>Intensification</t>
        </is>
      </c>
      <c r="C122" s="29" t="n">
        <v>1</v>
      </c>
      <c r="D122" s="30" t="inlineStr">
        <is>
          <t>Monday — Squat</t>
        </is>
      </c>
      <c r="E122" s="31" t="n">
        <v>2</v>
      </c>
      <c r="F122" s="30" t="inlineStr">
        <is>
          <t>Bulgarian split squat</t>
        </is>
      </c>
      <c r="G122" s="31" t="inlineStr">
        <is>
          <t>Accessory</t>
        </is>
      </c>
      <c r="H122" s="31" t="inlineStr">
        <is>
          <t>-</t>
        </is>
      </c>
      <c r="I122" s="29" t="n">
        <v>3</v>
      </c>
      <c r="J122" s="29" t="inlineStr">
        <is>
          <t>8</t>
        </is>
      </c>
      <c r="K122" s="29" t="inlineStr"/>
      <c r="L122" s="29" t="inlineStr"/>
      <c r="M122" s="31" t="inlineStr"/>
      <c r="N122" s="36" t="inlineStr"/>
      <c r="O122" s="12" t="inlineStr"/>
      <c r="P122" s="14" t="inlineStr"/>
    </row>
    <row r="123" ht="22" customHeight="1">
      <c r="A123" s="37" t="n">
        <v>6</v>
      </c>
      <c r="B123" s="33" t="inlineStr">
        <is>
          <t>Intensification</t>
        </is>
      </c>
      <c r="C123" s="38" t="n">
        <v>1</v>
      </c>
      <c r="D123" s="39" t="inlineStr">
        <is>
          <t>Monday — Squat</t>
        </is>
      </c>
      <c r="E123" s="40" t="n">
        <v>3</v>
      </c>
      <c r="F123" s="39" t="inlineStr">
        <is>
          <t>Leg curl</t>
        </is>
      </c>
      <c r="G123" s="40" t="inlineStr">
        <is>
          <t>Accessory</t>
        </is>
      </c>
      <c r="H123" s="40" t="inlineStr">
        <is>
          <t>-</t>
        </is>
      </c>
      <c r="I123" s="38" t="n">
        <v>3</v>
      </c>
      <c r="J123" s="38" t="inlineStr">
        <is>
          <t>10</t>
        </is>
      </c>
      <c r="K123" s="38" t="inlineStr"/>
      <c r="L123" s="29" t="inlineStr"/>
      <c r="M123" s="40" t="inlineStr"/>
      <c r="N123" s="36" t="inlineStr"/>
      <c r="O123" s="12" t="inlineStr"/>
      <c r="P123" s="14" t="inlineStr"/>
    </row>
    <row r="124" ht="22" customHeight="1">
      <c r="A124" s="27" t="n">
        <v>6</v>
      </c>
      <c r="B124" s="33" t="inlineStr">
        <is>
          <t>Intensification</t>
        </is>
      </c>
      <c r="C124" s="29" t="n">
        <v>1</v>
      </c>
      <c r="D124" s="30" t="inlineStr">
        <is>
          <t>Monday — Squat</t>
        </is>
      </c>
      <c r="E124" s="31" t="n">
        <v>4</v>
      </c>
      <c r="F124" s="30" t="inlineStr">
        <is>
          <t>Copenhagen plank</t>
        </is>
      </c>
      <c r="G124" s="31" t="inlineStr">
        <is>
          <t>Accessory</t>
        </is>
      </c>
      <c r="H124" s="31" t="inlineStr">
        <is>
          <t>-</t>
        </is>
      </c>
      <c r="I124" s="29" t="n">
        <v>3</v>
      </c>
      <c r="J124" s="29" t="inlineStr">
        <is>
          <t>20sec/side</t>
        </is>
      </c>
      <c r="K124" s="29" t="inlineStr"/>
      <c r="L124" s="29" t="inlineStr"/>
      <c r="M124" s="31" t="inlineStr"/>
      <c r="N124" s="36" t="inlineStr"/>
      <c r="O124" s="12" t="inlineStr"/>
      <c r="P124" s="14" t="inlineStr"/>
    </row>
    <row r="125" ht="22" customHeight="1">
      <c r="A125" s="27" t="n">
        <v>6</v>
      </c>
      <c r="B125" s="33" t="inlineStr">
        <is>
          <t>Intensification</t>
        </is>
      </c>
      <c r="C125" s="29" t="n">
        <v>2</v>
      </c>
      <c r="D125" s="30" t="inlineStr">
        <is>
          <t>Tuesday — Bench</t>
        </is>
      </c>
      <c r="E125" s="31" t="n">
        <v>1</v>
      </c>
      <c r="F125" s="32" t="inlineStr">
        <is>
          <t>Bench</t>
        </is>
      </c>
      <c r="G125" s="33" t="inlineStr">
        <is>
          <t>Main Lift</t>
        </is>
      </c>
      <c r="H125" s="31" t="inlineStr">
        <is>
          <t>BENCH</t>
        </is>
      </c>
      <c r="I125" s="27" t="n">
        <v>5</v>
      </c>
      <c r="J125" s="27" t="inlineStr">
        <is>
          <t>3</t>
        </is>
      </c>
      <c r="K125" s="34" t="n">
        <v>0.83</v>
      </c>
      <c r="L125" s="35">
        <f>ROUND('Setup &amp; Dashboard'!$E$8*0.83/5, 0)*5</f>
        <v/>
      </c>
      <c r="M125" s="27" t="inlineStr">
        <is>
          <t>RPE 8</t>
        </is>
      </c>
      <c r="N125" s="36" t="inlineStr"/>
      <c r="O125" s="12" t="inlineStr"/>
      <c r="P125" s="14" t="inlineStr"/>
    </row>
    <row r="126" ht="22" customHeight="1">
      <c r="A126" s="27" t="n">
        <v>6</v>
      </c>
      <c r="B126" s="33" t="inlineStr">
        <is>
          <t>Intensification</t>
        </is>
      </c>
      <c r="C126" s="29" t="n">
        <v>2</v>
      </c>
      <c r="D126" s="30" t="inlineStr">
        <is>
          <t>Tuesday — Bench</t>
        </is>
      </c>
      <c r="E126" s="31" t="n">
        <v>2</v>
      </c>
      <c r="F126" s="30" t="inlineStr">
        <is>
          <t>Close-grip bench</t>
        </is>
      </c>
      <c r="G126" s="31" t="inlineStr">
        <is>
          <t>Accessory</t>
        </is>
      </c>
      <c r="H126" s="31" t="inlineStr">
        <is>
          <t>-</t>
        </is>
      </c>
      <c r="I126" s="29" t="n">
        <v>3</v>
      </c>
      <c r="J126" s="29" t="inlineStr">
        <is>
          <t>5</t>
        </is>
      </c>
      <c r="K126" s="29" t="inlineStr"/>
      <c r="L126" s="29" t="inlineStr"/>
      <c r="M126" s="31" t="inlineStr"/>
      <c r="N126" s="36" t="inlineStr"/>
      <c r="O126" s="12" t="inlineStr"/>
      <c r="P126" s="14" t="inlineStr"/>
    </row>
    <row r="127" ht="22" customHeight="1">
      <c r="A127" s="37" t="n">
        <v>6</v>
      </c>
      <c r="B127" s="33" t="inlineStr">
        <is>
          <t>Intensification</t>
        </is>
      </c>
      <c r="C127" s="38" t="n">
        <v>2</v>
      </c>
      <c r="D127" s="39" t="inlineStr">
        <is>
          <t>Tuesday — Bench</t>
        </is>
      </c>
      <c r="E127" s="40" t="n">
        <v>3</v>
      </c>
      <c r="F127" s="39" t="inlineStr">
        <is>
          <t>Incline DB press</t>
        </is>
      </c>
      <c r="G127" s="40" t="inlineStr">
        <is>
          <t>Accessory</t>
        </is>
      </c>
      <c r="H127" s="40" t="inlineStr">
        <is>
          <t>-</t>
        </is>
      </c>
      <c r="I127" s="38" t="n">
        <v>3</v>
      </c>
      <c r="J127" s="38" t="inlineStr">
        <is>
          <t>8-10</t>
        </is>
      </c>
      <c r="K127" s="38" t="inlineStr"/>
      <c r="L127" s="29" t="inlineStr"/>
      <c r="M127" s="40" t="inlineStr"/>
      <c r="N127" s="36" t="inlineStr"/>
      <c r="O127" s="12" t="inlineStr"/>
      <c r="P127" s="14" t="inlineStr"/>
    </row>
    <row r="128" ht="22" customHeight="1">
      <c r="A128" s="27" t="n">
        <v>6</v>
      </c>
      <c r="B128" s="33" t="inlineStr">
        <is>
          <t>Intensification</t>
        </is>
      </c>
      <c r="C128" s="29" t="n">
        <v>2</v>
      </c>
      <c r="D128" s="30" t="inlineStr">
        <is>
          <t>Tuesday — Bench</t>
        </is>
      </c>
      <c r="E128" s="31" t="n">
        <v>4</v>
      </c>
      <c r="F128" s="30" t="inlineStr">
        <is>
          <t>Triceps pressdown</t>
        </is>
      </c>
      <c r="G128" s="31" t="inlineStr">
        <is>
          <t>Accessory</t>
        </is>
      </c>
      <c r="H128" s="31" t="inlineStr">
        <is>
          <t>-</t>
        </is>
      </c>
      <c r="I128" s="29" t="n">
        <v>3</v>
      </c>
      <c r="J128" s="29" t="inlineStr">
        <is>
          <t>12</t>
        </is>
      </c>
      <c r="K128" s="29" t="inlineStr"/>
      <c r="L128" s="29" t="inlineStr"/>
      <c r="M128" s="31" t="inlineStr"/>
      <c r="N128" s="36" t="inlineStr"/>
      <c r="O128" s="12" t="inlineStr"/>
      <c r="P128" s="14" t="inlineStr"/>
    </row>
    <row r="129" ht="22" customHeight="1">
      <c r="A129" s="37" t="n">
        <v>6</v>
      </c>
      <c r="B129" s="33" t="inlineStr">
        <is>
          <t>Intensification</t>
        </is>
      </c>
      <c r="C129" s="38" t="n">
        <v>2</v>
      </c>
      <c r="D129" s="39" t="inlineStr">
        <is>
          <t>Tuesday — Bench</t>
        </is>
      </c>
      <c r="E129" s="40" t="n">
        <v>5</v>
      </c>
      <c r="F129" s="39" t="inlineStr">
        <is>
          <t>Face pull</t>
        </is>
      </c>
      <c r="G129" s="40" t="inlineStr">
        <is>
          <t>Accessory</t>
        </is>
      </c>
      <c r="H129" s="40" t="inlineStr">
        <is>
          <t>-</t>
        </is>
      </c>
      <c r="I129" s="38" t="n">
        <v>3</v>
      </c>
      <c r="J129" s="38" t="inlineStr">
        <is>
          <t>15</t>
        </is>
      </c>
      <c r="K129" s="38" t="inlineStr"/>
      <c r="L129" s="29" t="inlineStr"/>
      <c r="M129" s="40" t="inlineStr"/>
      <c r="N129" s="36" t="inlineStr"/>
      <c r="O129" s="12" t="inlineStr"/>
      <c r="P129" s="14" t="inlineStr"/>
    </row>
    <row r="130" ht="22" customHeight="1">
      <c r="A130" s="27" t="n">
        <v>6</v>
      </c>
      <c r="B130" s="33" t="inlineStr">
        <is>
          <t>Intensification</t>
        </is>
      </c>
      <c r="C130" s="29" t="n">
        <v>3</v>
      </c>
      <c r="D130" s="30" t="inlineStr">
        <is>
          <t>Thursday — Deadlift</t>
        </is>
      </c>
      <c r="E130" s="31" t="n">
        <v>1</v>
      </c>
      <c r="F130" s="32" t="inlineStr">
        <is>
          <t>Deadlift</t>
        </is>
      </c>
      <c r="G130" s="33" t="inlineStr">
        <is>
          <t>Main Lift</t>
        </is>
      </c>
      <c r="H130" s="31" t="inlineStr">
        <is>
          <t>DEADLIFT</t>
        </is>
      </c>
      <c r="I130" s="27" t="n">
        <v>3</v>
      </c>
      <c r="J130" s="27" t="inlineStr">
        <is>
          <t>3</t>
        </is>
      </c>
      <c r="K130" s="34" t="n">
        <v>0.82</v>
      </c>
      <c r="L130" s="35">
        <f>ROUND('Setup &amp; Dashboard'!$E$9*0.82/5, 0)*5</f>
        <v/>
      </c>
      <c r="M130" s="27" t="inlineStr">
        <is>
          <t>RPE 8</t>
        </is>
      </c>
      <c r="N130" s="36" t="inlineStr"/>
      <c r="O130" s="12" t="inlineStr"/>
      <c r="P130" s="14" t="inlineStr"/>
    </row>
    <row r="131" ht="22" customHeight="1">
      <c r="A131" s="37" t="n">
        <v>6</v>
      </c>
      <c r="B131" s="33" t="inlineStr">
        <is>
          <t>Intensification</t>
        </is>
      </c>
      <c r="C131" s="38" t="n">
        <v>3</v>
      </c>
      <c r="D131" s="39" t="inlineStr">
        <is>
          <t>Thursday — Deadlift</t>
        </is>
      </c>
      <c r="E131" s="40" t="n">
        <v>2</v>
      </c>
      <c r="F131" s="39" t="inlineStr">
        <is>
          <t>Reverse hyper</t>
        </is>
      </c>
      <c r="G131" s="40" t="inlineStr">
        <is>
          <t>Accessory</t>
        </is>
      </c>
      <c r="H131" s="40" t="inlineStr">
        <is>
          <t>-</t>
        </is>
      </c>
      <c r="I131" s="38" t="n">
        <v>2</v>
      </c>
      <c r="J131" s="38" t="inlineStr">
        <is>
          <t>12</t>
        </is>
      </c>
      <c r="K131" s="38" t="inlineStr"/>
      <c r="L131" s="29" t="inlineStr"/>
      <c r="M131" s="40" t="inlineStr"/>
      <c r="N131" s="36" t="inlineStr"/>
      <c r="O131" s="12" t="inlineStr"/>
      <c r="P131" s="14" t="inlineStr"/>
    </row>
    <row r="132" ht="22" customHeight="1">
      <c r="A132" s="27" t="n">
        <v>6</v>
      </c>
      <c r="B132" s="33" t="inlineStr">
        <is>
          <t>Intensification</t>
        </is>
      </c>
      <c r="C132" s="29" t="n">
        <v>3</v>
      </c>
      <c r="D132" s="30" t="inlineStr">
        <is>
          <t>Thursday — Deadlift</t>
        </is>
      </c>
      <c r="E132" s="31" t="n">
        <v>3</v>
      </c>
      <c r="F132" s="30" t="inlineStr">
        <is>
          <t>Jefferson curl</t>
        </is>
      </c>
      <c r="G132" s="31" t="inlineStr">
        <is>
          <t>Accessory</t>
        </is>
      </c>
      <c r="H132" s="31" t="inlineStr">
        <is>
          <t>-</t>
        </is>
      </c>
      <c r="I132" s="29" t="n">
        <v>2</v>
      </c>
      <c r="J132" s="29" t="inlineStr">
        <is>
          <t>8</t>
        </is>
      </c>
      <c r="K132" s="29" t="inlineStr"/>
      <c r="L132" s="29" t="inlineStr"/>
      <c r="M132" s="31" t="inlineStr"/>
      <c r="N132" s="36" t="inlineStr"/>
      <c r="O132" s="12" t="inlineStr"/>
      <c r="P132" s="14" t="inlineStr"/>
    </row>
    <row r="133" ht="22" customHeight="1">
      <c r="A133" s="27" t="n">
        <v>6</v>
      </c>
      <c r="B133" s="33" t="inlineStr">
        <is>
          <t>Intensification</t>
        </is>
      </c>
      <c r="C133" s="29" t="n">
        <v>4</v>
      </c>
      <c r="D133" s="30" t="inlineStr">
        <is>
          <t>Friday — Bench variant / upper body</t>
        </is>
      </c>
      <c r="E133" s="31" t="n">
        <v>1</v>
      </c>
      <c r="F133" s="32" t="inlineStr">
        <is>
          <t>Spoto press</t>
        </is>
      </c>
      <c r="G133" s="33" t="inlineStr">
        <is>
          <t>Main Lift</t>
        </is>
      </c>
      <c r="H133" s="31" t="inlineStr">
        <is>
          <t>BENCH</t>
        </is>
      </c>
      <c r="I133" s="27" t="n">
        <v>4</v>
      </c>
      <c r="J133" s="27" t="inlineStr">
        <is>
          <t>3</t>
        </is>
      </c>
      <c r="K133" s="34" t="n">
        <v>0.65</v>
      </c>
      <c r="L133" s="35">
        <f>ROUND('Setup &amp; Dashboard'!$E$8*0.65/5, 0)*5</f>
        <v/>
      </c>
      <c r="M133" s="27" t="inlineStr">
        <is>
          <t>RPE 7</t>
        </is>
      </c>
      <c r="N133" s="36" t="inlineStr"/>
      <c r="O133" s="12" t="inlineStr"/>
      <c r="P133" s="14" t="inlineStr"/>
    </row>
    <row r="134" ht="22" customHeight="1">
      <c r="A134" s="27" t="n">
        <v>6</v>
      </c>
      <c r="B134" s="33" t="inlineStr">
        <is>
          <t>Intensification</t>
        </is>
      </c>
      <c r="C134" s="29" t="n">
        <v>4</v>
      </c>
      <c r="D134" s="30" t="inlineStr">
        <is>
          <t>Friday — Bench variant / upper body</t>
        </is>
      </c>
      <c r="E134" s="31" t="n">
        <v>2</v>
      </c>
      <c r="F134" s="30" t="inlineStr">
        <is>
          <t>Chest-supported row</t>
        </is>
      </c>
      <c r="G134" s="31" t="inlineStr">
        <is>
          <t>Accessory</t>
        </is>
      </c>
      <c r="H134" s="31" t="inlineStr">
        <is>
          <t>-</t>
        </is>
      </c>
      <c r="I134" s="29" t="n">
        <v>4</v>
      </c>
      <c r="J134" s="29" t="inlineStr">
        <is>
          <t>8</t>
        </is>
      </c>
      <c r="K134" s="29" t="inlineStr"/>
      <c r="L134" s="29" t="inlineStr"/>
      <c r="M134" s="31" t="inlineStr"/>
      <c r="N134" s="36" t="inlineStr"/>
      <c r="O134" s="12" t="inlineStr"/>
      <c r="P134" s="14" t="inlineStr"/>
    </row>
    <row r="135" ht="22" customHeight="1">
      <c r="A135" s="37" t="n">
        <v>6</v>
      </c>
      <c r="B135" s="33" t="inlineStr">
        <is>
          <t>Intensification</t>
        </is>
      </c>
      <c r="C135" s="38" t="n">
        <v>4</v>
      </c>
      <c r="D135" s="39" t="inlineStr">
        <is>
          <t>Friday — Bench variant / upper body</t>
        </is>
      </c>
      <c r="E135" s="40" t="n">
        <v>3</v>
      </c>
      <c r="F135" s="39" t="inlineStr">
        <is>
          <t>Lat pulldown</t>
        </is>
      </c>
      <c r="G135" s="40" t="inlineStr">
        <is>
          <t>Accessory</t>
        </is>
      </c>
      <c r="H135" s="40" t="inlineStr">
        <is>
          <t>-</t>
        </is>
      </c>
      <c r="I135" s="38" t="n">
        <v>3</v>
      </c>
      <c r="J135" s="38" t="inlineStr">
        <is>
          <t>10</t>
        </is>
      </c>
      <c r="K135" s="38" t="inlineStr"/>
      <c r="L135" s="29" t="inlineStr"/>
      <c r="M135" s="40" t="inlineStr"/>
      <c r="N135" s="36" t="inlineStr"/>
      <c r="O135" s="12" t="inlineStr"/>
      <c r="P135" s="14" t="inlineStr"/>
    </row>
    <row r="136" ht="22" customHeight="1">
      <c r="A136" s="27" t="n">
        <v>6</v>
      </c>
      <c r="B136" s="33" t="inlineStr">
        <is>
          <t>Intensification</t>
        </is>
      </c>
      <c r="C136" s="29" t="n">
        <v>4</v>
      </c>
      <c r="D136" s="30" t="inlineStr">
        <is>
          <t>Friday — Bench variant / upper body</t>
        </is>
      </c>
      <c r="E136" s="31" t="n">
        <v>4</v>
      </c>
      <c r="F136" s="30" t="inlineStr">
        <is>
          <t>Lateral raise</t>
        </is>
      </c>
      <c r="G136" s="31" t="inlineStr">
        <is>
          <t>Accessory</t>
        </is>
      </c>
      <c r="H136" s="31" t="inlineStr">
        <is>
          <t>-</t>
        </is>
      </c>
      <c r="I136" s="29" t="n">
        <v>3</v>
      </c>
      <c r="J136" s="29" t="inlineStr">
        <is>
          <t>15</t>
        </is>
      </c>
      <c r="K136" s="29" t="inlineStr"/>
      <c r="L136" s="29" t="inlineStr"/>
      <c r="M136" s="31" t="inlineStr"/>
      <c r="N136" s="36" t="inlineStr"/>
      <c r="O136" s="12" t="inlineStr"/>
      <c r="P136" s="14" t="inlineStr"/>
    </row>
    <row r="137" ht="22" customHeight="1">
      <c r="A137" s="37" t="n">
        <v>6</v>
      </c>
      <c r="B137" s="33" t="inlineStr">
        <is>
          <t>Intensification</t>
        </is>
      </c>
      <c r="C137" s="38" t="n">
        <v>4</v>
      </c>
      <c r="D137" s="39" t="inlineStr">
        <is>
          <t>Friday — Bench variant / upper body</t>
        </is>
      </c>
      <c r="E137" s="40" t="n">
        <v>5</v>
      </c>
      <c r="F137" s="39" t="inlineStr">
        <is>
          <t>Curl</t>
        </is>
      </c>
      <c r="G137" s="40" t="inlineStr">
        <is>
          <t>Accessory</t>
        </is>
      </c>
      <c r="H137" s="40" t="inlineStr">
        <is>
          <t>-</t>
        </is>
      </c>
      <c r="I137" s="38" t="n">
        <v>3</v>
      </c>
      <c r="J137" s="38" t="inlineStr">
        <is>
          <t>10-12</t>
        </is>
      </c>
      <c r="K137" s="38" t="inlineStr"/>
      <c r="L137" s="29" t="inlineStr"/>
      <c r="M137" s="40" t="inlineStr"/>
      <c r="N137" s="36" t="inlineStr"/>
      <c r="O137" s="12" t="inlineStr"/>
      <c r="P137" s="14" t="inlineStr"/>
    </row>
    <row r="138" ht="22" customHeight="1">
      <c r="A138" s="27" t="n">
        <v>6</v>
      </c>
      <c r="B138" s="33" t="inlineStr">
        <is>
          <t>Intensification</t>
        </is>
      </c>
      <c r="C138" s="29" t="n">
        <v>4</v>
      </c>
      <c r="D138" s="30" t="inlineStr">
        <is>
          <t>Friday — Bench variant / upper body</t>
        </is>
      </c>
      <c r="E138" s="31" t="n">
        <v>6</v>
      </c>
      <c r="F138" s="30" t="inlineStr">
        <is>
          <t>Pallof press</t>
        </is>
      </c>
      <c r="G138" s="31" t="inlineStr">
        <is>
          <t>Accessory</t>
        </is>
      </c>
      <c r="H138" s="31" t="inlineStr">
        <is>
          <t>-</t>
        </is>
      </c>
      <c r="I138" s="29" t="n">
        <v>3</v>
      </c>
      <c r="J138" s="29" t="inlineStr">
        <is>
          <t>10/side</t>
        </is>
      </c>
      <c r="K138" s="29" t="inlineStr"/>
      <c r="L138" s="29" t="inlineStr"/>
      <c r="M138" s="31" t="inlineStr"/>
      <c r="N138" s="36" t="inlineStr"/>
      <c r="O138" s="12" t="inlineStr"/>
      <c r="P138" s="14" t="inlineStr"/>
    </row>
    <row r="139" ht="22" customHeight="1">
      <c r="A139" s="27" t="n">
        <v>6</v>
      </c>
      <c r="B139" s="33" t="inlineStr">
        <is>
          <t>Intensification</t>
        </is>
      </c>
      <c r="C139" s="29" t="n">
        <v>5</v>
      </c>
      <c r="D139" s="30" t="inlineStr">
        <is>
          <t>Saturday — Squat variant + Rack Pull</t>
        </is>
      </c>
      <c r="E139" s="31" t="n">
        <v>1</v>
      </c>
      <c r="F139" s="32" t="inlineStr">
        <is>
          <t>High bar squat</t>
        </is>
      </c>
      <c r="G139" s="33" t="inlineStr">
        <is>
          <t>Main Lift</t>
        </is>
      </c>
      <c r="H139" s="31" t="inlineStr">
        <is>
          <t>SQUAT</t>
        </is>
      </c>
      <c r="I139" s="27" t="n">
        <v>3</v>
      </c>
      <c r="J139" s="27" t="inlineStr">
        <is>
          <t>4</t>
        </is>
      </c>
      <c r="K139" s="34" t="n">
        <v>0.65</v>
      </c>
      <c r="L139" s="35">
        <f>ROUND('Setup &amp; Dashboard'!$E$7*0.65/5, 0)*5</f>
        <v/>
      </c>
      <c r="M139" s="27" t="inlineStr">
        <is>
          <t>RPE 7</t>
        </is>
      </c>
      <c r="N139" s="36" t="inlineStr"/>
      <c r="O139" s="12" t="inlineStr"/>
      <c r="P139" s="14" t="inlineStr"/>
    </row>
    <row r="140" ht="22" customHeight="1">
      <c r="A140" s="27" t="n">
        <v>6</v>
      </c>
      <c r="B140" s="33" t="inlineStr">
        <is>
          <t>Intensification</t>
        </is>
      </c>
      <c r="C140" s="29" t="n">
        <v>5</v>
      </c>
      <c r="D140" s="30" t="inlineStr">
        <is>
          <t>Saturday — Squat variant + Rack Pull</t>
        </is>
      </c>
      <c r="E140" s="31" t="n">
        <v>2</v>
      </c>
      <c r="F140" s="32" t="inlineStr">
        <is>
          <t>Rack pull</t>
        </is>
      </c>
      <c r="G140" s="33" t="inlineStr">
        <is>
          <t>Main Lift</t>
        </is>
      </c>
      <c r="H140" s="31" t="inlineStr">
        <is>
          <t>RACKPULL</t>
        </is>
      </c>
      <c r="I140" s="27" t="n">
        <v>4</v>
      </c>
      <c r="J140" s="27" t="inlineStr">
        <is>
          <t>3</t>
        </is>
      </c>
      <c r="K140" s="34" t="n">
        <v>0.8</v>
      </c>
      <c r="L140" s="35">
        <f>ROUND('Setup &amp; Dashboard'!$E$10*0.8/5, 0)*5</f>
        <v/>
      </c>
      <c r="M140" s="27" t="inlineStr">
        <is>
          <t>RPE 8</t>
        </is>
      </c>
      <c r="N140" s="36" t="inlineStr"/>
      <c r="O140" s="12" t="inlineStr"/>
      <c r="P140" s="14" t="inlineStr"/>
    </row>
    <row r="141" ht="22" customHeight="1">
      <c r="A141" s="37" t="n">
        <v>6</v>
      </c>
      <c r="B141" s="33" t="inlineStr">
        <is>
          <t>Intensification</t>
        </is>
      </c>
      <c r="C141" s="38" t="n">
        <v>5</v>
      </c>
      <c r="D141" s="39" t="inlineStr">
        <is>
          <t>Saturday — Squat variant + Rack Pull</t>
        </is>
      </c>
      <c r="E141" s="40" t="n">
        <v>3</v>
      </c>
      <c r="F141" s="39" t="inlineStr">
        <is>
          <t>Reverse hyper</t>
        </is>
      </c>
      <c r="G141" s="40" t="inlineStr">
        <is>
          <t>Accessory</t>
        </is>
      </c>
      <c r="H141" s="40" t="inlineStr">
        <is>
          <t>-</t>
        </is>
      </c>
      <c r="I141" s="38" t="n">
        <v>2</v>
      </c>
      <c r="J141" s="38" t="inlineStr">
        <is>
          <t>12</t>
        </is>
      </c>
      <c r="K141" s="38" t="inlineStr"/>
      <c r="L141" s="29" t="inlineStr"/>
      <c r="M141" s="40" t="inlineStr"/>
      <c r="N141" s="36" t="inlineStr"/>
      <c r="O141" s="12" t="inlineStr"/>
      <c r="P141" s="14" t="inlineStr"/>
    </row>
    <row r="142" ht="22" customHeight="1">
      <c r="A142" s="27" t="n">
        <v>6</v>
      </c>
      <c r="B142" s="33" t="inlineStr">
        <is>
          <t>Intensification</t>
        </is>
      </c>
      <c r="C142" s="29" t="n">
        <v>5</v>
      </c>
      <c r="D142" s="30" t="inlineStr">
        <is>
          <t>Saturday — Squat variant + Rack Pull</t>
        </is>
      </c>
      <c r="E142" s="31" t="n">
        <v>4</v>
      </c>
      <c r="F142" s="30" t="inlineStr">
        <is>
          <t>GHR or Nordic curl</t>
        </is>
      </c>
      <c r="G142" s="31" t="inlineStr">
        <is>
          <t>Accessory</t>
        </is>
      </c>
      <c r="H142" s="31" t="inlineStr">
        <is>
          <t>-</t>
        </is>
      </c>
      <c r="I142" s="29" t="n">
        <v>3</v>
      </c>
      <c r="J142" s="29" t="inlineStr">
        <is>
          <t>8</t>
        </is>
      </c>
      <c r="K142" s="29" t="inlineStr"/>
      <c r="L142" s="29" t="inlineStr"/>
      <c r="M142" s="31" t="inlineStr"/>
      <c r="N142" s="36" t="inlineStr"/>
      <c r="O142" s="12" t="inlineStr"/>
      <c r="P142" s="14" t="inlineStr"/>
    </row>
    <row r="143" ht="22" customHeight="1">
      <c r="A143" s="27" t="n">
        <v>7</v>
      </c>
      <c r="B143" s="33" t="inlineStr">
        <is>
          <t>Intensification</t>
        </is>
      </c>
      <c r="C143" s="29" t="n">
        <v>1</v>
      </c>
      <c r="D143" s="30" t="inlineStr">
        <is>
          <t>Monday — Squat</t>
        </is>
      </c>
      <c r="E143" s="31" t="n">
        <v>1</v>
      </c>
      <c r="F143" s="32" t="inlineStr">
        <is>
          <t>Squat</t>
        </is>
      </c>
      <c r="G143" s="33" t="inlineStr">
        <is>
          <t>Main Lift</t>
        </is>
      </c>
      <c r="H143" s="31" t="inlineStr">
        <is>
          <t>SQUAT</t>
        </is>
      </c>
      <c r="I143" s="27" t="n">
        <v>5</v>
      </c>
      <c r="J143" s="27" t="inlineStr">
        <is>
          <t>2</t>
        </is>
      </c>
      <c r="K143" s="34" t="n">
        <v>0.87</v>
      </c>
      <c r="L143" s="35">
        <f>ROUND('Setup &amp; Dashboard'!$E$7*0.87/5, 0)*5</f>
        <v/>
      </c>
      <c r="M143" s="27" t="inlineStr">
        <is>
          <t>RPE 8</t>
        </is>
      </c>
      <c r="N143" s="36" t="inlineStr"/>
      <c r="O143" s="12" t="inlineStr"/>
      <c r="P143" s="14" t="inlineStr"/>
    </row>
    <row r="144" ht="22" customHeight="1">
      <c r="A144" s="27" t="n">
        <v>7</v>
      </c>
      <c r="B144" s="33" t="inlineStr">
        <is>
          <t>Intensification</t>
        </is>
      </c>
      <c r="C144" s="29" t="n">
        <v>1</v>
      </c>
      <c r="D144" s="30" t="inlineStr">
        <is>
          <t>Monday — Squat</t>
        </is>
      </c>
      <c r="E144" s="31" t="n">
        <v>2</v>
      </c>
      <c r="F144" s="30" t="inlineStr">
        <is>
          <t>Split squat</t>
        </is>
      </c>
      <c r="G144" s="31" t="inlineStr">
        <is>
          <t>Accessory</t>
        </is>
      </c>
      <c r="H144" s="31" t="inlineStr">
        <is>
          <t>-</t>
        </is>
      </c>
      <c r="I144" s="29" t="n">
        <v>2</v>
      </c>
      <c r="J144" s="29" t="inlineStr">
        <is>
          <t>8/leg</t>
        </is>
      </c>
      <c r="K144" s="29" t="inlineStr"/>
      <c r="L144" s="29" t="inlineStr"/>
      <c r="M144" s="31" t="inlineStr"/>
      <c r="N144" s="36" t="inlineStr"/>
      <c r="O144" s="12" t="inlineStr"/>
      <c r="P144" s="14" t="inlineStr"/>
    </row>
    <row r="145" ht="22" customHeight="1">
      <c r="A145" s="37" t="n">
        <v>7</v>
      </c>
      <c r="B145" s="33" t="inlineStr">
        <is>
          <t>Intensification</t>
        </is>
      </c>
      <c r="C145" s="38" t="n">
        <v>1</v>
      </c>
      <c r="D145" s="39" t="inlineStr">
        <is>
          <t>Monday — Squat</t>
        </is>
      </c>
      <c r="E145" s="40" t="n">
        <v>3</v>
      </c>
      <c r="F145" s="39" t="inlineStr">
        <is>
          <t>Leg curl</t>
        </is>
      </c>
      <c r="G145" s="40" t="inlineStr">
        <is>
          <t>Accessory</t>
        </is>
      </c>
      <c r="H145" s="40" t="inlineStr">
        <is>
          <t>-</t>
        </is>
      </c>
      <c r="I145" s="38" t="n">
        <v>3</v>
      </c>
      <c r="J145" s="38" t="inlineStr">
        <is>
          <t>10</t>
        </is>
      </c>
      <c r="K145" s="38" t="inlineStr"/>
      <c r="L145" s="29" t="inlineStr"/>
      <c r="M145" s="40" t="inlineStr"/>
      <c r="N145" s="36" t="inlineStr"/>
      <c r="O145" s="12" t="inlineStr"/>
      <c r="P145" s="14" t="inlineStr"/>
    </row>
    <row r="146" ht="22" customHeight="1">
      <c r="A146" s="27" t="n">
        <v>7</v>
      </c>
      <c r="B146" s="33" t="inlineStr">
        <is>
          <t>Intensification</t>
        </is>
      </c>
      <c r="C146" s="29" t="n">
        <v>1</v>
      </c>
      <c r="D146" s="30" t="inlineStr">
        <is>
          <t>Monday — Squat</t>
        </is>
      </c>
      <c r="E146" s="31" t="n">
        <v>4</v>
      </c>
      <c r="F146" s="30" t="inlineStr">
        <is>
          <t>Copenhagen plank</t>
        </is>
      </c>
      <c r="G146" s="31" t="inlineStr">
        <is>
          <t>Accessory</t>
        </is>
      </c>
      <c r="H146" s="31" t="inlineStr">
        <is>
          <t>-</t>
        </is>
      </c>
      <c r="I146" s="29" t="n">
        <v>3</v>
      </c>
      <c r="J146" s="29" t="inlineStr">
        <is>
          <t>20sec/side</t>
        </is>
      </c>
      <c r="K146" s="29" t="inlineStr"/>
      <c r="L146" s="29" t="inlineStr"/>
      <c r="M146" s="31" t="inlineStr"/>
      <c r="N146" s="36" t="inlineStr"/>
      <c r="O146" s="12" t="inlineStr"/>
      <c r="P146" s="14" t="inlineStr"/>
    </row>
    <row r="147" ht="22" customHeight="1">
      <c r="A147" s="27" t="n">
        <v>7</v>
      </c>
      <c r="B147" s="33" t="inlineStr">
        <is>
          <t>Intensification</t>
        </is>
      </c>
      <c r="C147" s="29" t="n">
        <v>2</v>
      </c>
      <c r="D147" s="30" t="inlineStr">
        <is>
          <t>Tuesday — Bench</t>
        </is>
      </c>
      <c r="E147" s="31" t="n">
        <v>1</v>
      </c>
      <c r="F147" s="32" t="inlineStr">
        <is>
          <t>Bench</t>
        </is>
      </c>
      <c r="G147" s="33" t="inlineStr">
        <is>
          <t>Main Lift</t>
        </is>
      </c>
      <c r="H147" s="31" t="inlineStr">
        <is>
          <t>BENCH</t>
        </is>
      </c>
      <c r="I147" s="27" t="n">
        <v>6</v>
      </c>
      <c r="J147" s="27" t="inlineStr">
        <is>
          <t>2</t>
        </is>
      </c>
      <c r="K147" s="34" t="n">
        <v>0.87</v>
      </c>
      <c r="L147" s="35">
        <f>ROUND('Setup &amp; Dashboard'!$E$8*0.87/5, 0)*5</f>
        <v/>
      </c>
      <c r="M147" s="27" t="inlineStr">
        <is>
          <t>RPE 8</t>
        </is>
      </c>
      <c r="N147" s="36" t="inlineStr"/>
      <c r="O147" s="12" t="inlineStr"/>
      <c r="P147" s="14" t="inlineStr"/>
    </row>
    <row r="148" ht="22" customHeight="1">
      <c r="A148" s="27" t="n">
        <v>7</v>
      </c>
      <c r="B148" s="33" t="inlineStr">
        <is>
          <t>Intensification</t>
        </is>
      </c>
      <c r="C148" s="29" t="n">
        <v>2</v>
      </c>
      <c r="D148" s="30" t="inlineStr">
        <is>
          <t>Tuesday — Bench</t>
        </is>
      </c>
      <c r="E148" s="31" t="n">
        <v>2</v>
      </c>
      <c r="F148" s="30" t="inlineStr">
        <is>
          <t>Close-grip bench</t>
        </is>
      </c>
      <c r="G148" s="31" t="inlineStr">
        <is>
          <t>Accessory</t>
        </is>
      </c>
      <c r="H148" s="31" t="inlineStr">
        <is>
          <t>-</t>
        </is>
      </c>
      <c r="I148" s="29" t="n">
        <v>3</v>
      </c>
      <c r="J148" s="29" t="inlineStr">
        <is>
          <t>4-5</t>
        </is>
      </c>
      <c r="K148" s="29" t="inlineStr"/>
      <c r="L148" s="29" t="inlineStr"/>
      <c r="M148" s="31" t="inlineStr"/>
      <c r="N148" s="36" t="inlineStr"/>
      <c r="O148" s="12" t="inlineStr"/>
      <c r="P148" s="14" t="inlineStr"/>
    </row>
    <row r="149" ht="22" customHeight="1">
      <c r="A149" s="37" t="n">
        <v>7</v>
      </c>
      <c r="B149" s="33" t="inlineStr">
        <is>
          <t>Intensification</t>
        </is>
      </c>
      <c r="C149" s="38" t="n">
        <v>2</v>
      </c>
      <c r="D149" s="39" t="inlineStr">
        <is>
          <t>Tuesday — Bench</t>
        </is>
      </c>
      <c r="E149" s="40" t="n">
        <v>3</v>
      </c>
      <c r="F149" s="39" t="inlineStr">
        <is>
          <t>Incline DB press</t>
        </is>
      </c>
      <c r="G149" s="40" t="inlineStr">
        <is>
          <t>Accessory</t>
        </is>
      </c>
      <c r="H149" s="40" t="inlineStr">
        <is>
          <t>-</t>
        </is>
      </c>
      <c r="I149" s="38" t="n">
        <v>3</v>
      </c>
      <c r="J149" s="38" t="inlineStr">
        <is>
          <t>8</t>
        </is>
      </c>
      <c r="K149" s="38" t="inlineStr"/>
      <c r="L149" s="29" t="inlineStr"/>
      <c r="M149" s="40" t="inlineStr"/>
      <c r="N149" s="36" t="inlineStr"/>
      <c r="O149" s="12" t="inlineStr"/>
      <c r="P149" s="14" t="inlineStr"/>
    </row>
    <row r="150" ht="22" customHeight="1">
      <c r="A150" s="27" t="n">
        <v>7</v>
      </c>
      <c r="B150" s="33" t="inlineStr">
        <is>
          <t>Intensification</t>
        </is>
      </c>
      <c r="C150" s="29" t="n">
        <v>2</v>
      </c>
      <c r="D150" s="30" t="inlineStr">
        <is>
          <t>Tuesday — Bench</t>
        </is>
      </c>
      <c r="E150" s="31" t="n">
        <v>4</v>
      </c>
      <c r="F150" s="30" t="inlineStr">
        <is>
          <t>Triceps pressdown</t>
        </is>
      </c>
      <c r="G150" s="31" t="inlineStr">
        <is>
          <t>Accessory</t>
        </is>
      </c>
      <c r="H150" s="31" t="inlineStr">
        <is>
          <t>-</t>
        </is>
      </c>
      <c r="I150" s="29" t="n">
        <v>3</v>
      </c>
      <c r="J150" s="29" t="inlineStr">
        <is>
          <t>12</t>
        </is>
      </c>
      <c r="K150" s="29" t="inlineStr"/>
      <c r="L150" s="29" t="inlineStr"/>
      <c r="M150" s="31" t="inlineStr"/>
      <c r="N150" s="36" t="inlineStr"/>
      <c r="O150" s="12" t="inlineStr"/>
      <c r="P150" s="14" t="inlineStr"/>
    </row>
    <row r="151" ht="22" customHeight="1">
      <c r="A151" s="37" t="n">
        <v>7</v>
      </c>
      <c r="B151" s="33" t="inlineStr">
        <is>
          <t>Intensification</t>
        </is>
      </c>
      <c r="C151" s="38" t="n">
        <v>2</v>
      </c>
      <c r="D151" s="39" t="inlineStr">
        <is>
          <t>Tuesday — Bench</t>
        </is>
      </c>
      <c r="E151" s="40" t="n">
        <v>5</v>
      </c>
      <c r="F151" s="39" t="inlineStr">
        <is>
          <t>Face pull</t>
        </is>
      </c>
      <c r="G151" s="40" t="inlineStr">
        <is>
          <t>Accessory</t>
        </is>
      </c>
      <c r="H151" s="40" t="inlineStr">
        <is>
          <t>-</t>
        </is>
      </c>
      <c r="I151" s="38" t="n">
        <v>3</v>
      </c>
      <c r="J151" s="38" t="inlineStr">
        <is>
          <t>15</t>
        </is>
      </c>
      <c r="K151" s="38" t="inlineStr"/>
      <c r="L151" s="29" t="inlineStr"/>
      <c r="M151" s="40" t="inlineStr"/>
      <c r="N151" s="36" t="inlineStr"/>
      <c r="O151" s="12" t="inlineStr"/>
      <c r="P151" s="14" t="inlineStr"/>
    </row>
    <row r="152" ht="22" customHeight="1">
      <c r="A152" s="27" t="n">
        <v>7</v>
      </c>
      <c r="B152" s="33" t="inlineStr">
        <is>
          <t>Intensification</t>
        </is>
      </c>
      <c r="C152" s="29" t="n">
        <v>3</v>
      </c>
      <c r="D152" s="30" t="inlineStr">
        <is>
          <t>Thursday — Deadlift</t>
        </is>
      </c>
      <c r="E152" s="31" t="n">
        <v>1</v>
      </c>
      <c r="F152" s="32" t="inlineStr">
        <is>
          <t>Deadlift</t>
        </is>
      </c>
      <c r="G152" s="33" t="inlineStr">
        <is>
          <t>Main Lift</t>
        </is>
      </c>
      <c r="H152" s="31" t="inlineStr">
        <is>
          <t>DEADLIFT</t>
        </is>
      </c>
      <c r="I152" s="27" t="n">
        <v>4</v>
      </c>
      <c r="J152" s="27" t="inlineStr">
        <is>
          <t>2</t>
        </is>
      </c>
      <c r="K152" s="34" t="n">
        <v>0.86</v>
      </c>
      <c r="L152" s="35">
        <f>ROUND('Setup &amp; Dashboard'!$E$9*0.86/5, 0)*5</f>
        <v/>
      </c>
      <c r="M152" s="27" t="inlineStr">
        <is>
          <t>RPE 8</t>
        </is>
      </c>
      <c r="N152" s="36" t="inlineStr"/>
      <c r="O152" s="12" t="inlineStr"/>
      <c r="P152" s="14" t="inlineStr"/>
    </row>
    <row r="153" ht="22" customHeight="1">
      <c r="A153" s="37" t="n">
        <v>7</v>
      </c>
      <c r="B153" s="33" t="inlineStr">
        <is>
          <t>Intensification</t>
        </is>
      </c>
      <c r="C153" s="38" t="n">
        <v>3</v>
      </c>
      <c r="D153" s="39" t="inlineStr">
        <is>
          <t>Thursday — Deadlift</t>
        </is>
      </c>
      <c r="E153" s="40" t="n">
        <v>2</v>
      </c>
      <c r="F153" s="39" t="inlineStr">
        <is>
          <t>Reverse hyper</t>
        </is>
      </c>
      <c r="G153" s="40" t="inlineStr">
        <is>
          <t>Accessory</t>
        </is>
      </c>
      <c r="H153" s="40" t="inlineStr">
        <is>
          <t>-</t>
        </is>
      </c>
      <c r="I153" s="38" t="n">
        <v>2</v>
      </c>
      <c r="J153" s="38" t="inlineStr">
        <is>
          <t>10-12</t>
        </is>
      </c>
      <c r="K153" s="38" t="inlineStr"/>
      <c r="L153" s="29" t="inlineStr"/>
      <c r="M153" s="40" t="inlineStr"/>
      <c r="N153" s="36" t="inlineStr"/>
      <c r="O153" s="12" t="inlineStr"/>
      <c r="P153" s="14" t="inlineStr"/>
    </row>
    <row r="154" ht="22" customHeight="1">
      <c r="A154" s="27" t="n">
        <v>7</v>
      </c>
      <c r="B154" s="33" t="inlineStr">
        <is>
          <t>Intensification</t>
        </is>
      </c>
      <c r="C154" s="29" t="n">
        <v>3</v>
      </c>
      <c r="D154" s="30" t="inlineStr">
        <is>
          <t>Thursday — Deadlift</t>
        </is>
      </c>
      <c r="E154" s="31" t="n">
        <v>3</v>
      </c>
      <c r="F154" s="30" t="inlineStr">
        <is>
          <t>Jefferson curl</t>
        </is>
      </c>
      <c r="G154" s="31" t="inlineStr">
        <is>
          <t>Accessory</t>
        </is>
      </c>
      <c r="H154" s="31" t="inlineStr">
        <is>
          <t>-</t>
        </is>
      </c>
      <c r="I154" s="29" t="n">
        <v>2</v>
      </c>
      <c r="J154" s="29" t="inlineStr">
        <is>
          <t>6-8</t>
        </is>
      </c>
      <c r="K154" s="29" t="inlineStr"/>
      <c r="L154" s="29" t="inlineStr"/>
      <c r="M154" s="31" t="inlineStr"/>
      <c r="N154" s="36" t="inlineStr"/>
      <c r="O154" s="12" t="inlineStr"/>
      <c r="P154" s="14" t="inlineStr"/>
    </row>
    <row r="155" ht="22" customHeight="1">
      <c r="A155" s="27" t="n">
        <v>7</v>
      </c>
      <c r="B155" s="33" t="inlineStr">
        <is>
          <t>Intensification</t>
        </is>
      </c>
      <c r="C155" s="29" t="n">
        <v>4</v>
      </c>
      <c r="D155" s="30" t="inlineStr">
        <is>
          <t>Friday — Bench variant / upper body</t>
        </is>
      </c>
      <c r="E155" s="31" t="n">
        <v>1</v>
      </c>
      <c r="F155" s="32" t="inlineStr">
        <is>
          <t>Tempo bench</t>
        </is>
      </c>
      <c r="G155" s="33" t="inlineStr">
        <is>
          <t>Main Lift</t>
        </is>
      </c>
      <c r="H155" s="31" t="inlineStr">
        <is>
          <t>BENCH</t>
        </is>
      </c>
      <c r="I155" s="27" t="n">
        <v>3</v>
      </c>
      <c r="J155" s="27" t="inlineStr">
        <is>
          <t>3</t>
        </is>
      </c>
      <c r="K155" s="34" t="n">
        <v>0.65</v>
      </c>
      <c r="L155" s="35">
        <f>ROUND('Setup &amp; Dashboard'!$E$8*0.65/5, 0)*5</f>
        <v/>
      </c>
      <c r="M155" s="27" t="inlineStr">
        <is>
          <t>RPE 7</t>
        </is>
      </c>
      <c r="N155" s="36" t="inlineStr"/>
      <c r="O155" s="12" t="inlineStr"/>
      <c r="P155" s="14" t="inlineStr"/>
    </row>
    <row r="156" ht="22" customHeight="1">
      <c r="A156" s="27" t="n">
        <v>7</v>
      </c>
      <c r="B156" s="33" t="inlineStr">
        <is>
          <t>Intensification</t>
        </is>
      </c>
      <c r="C156" s="29" t="n">
        <v>4</v>
      </c>
      <c r="D156" s="30" t="inlineStr">
        <is>
          <t>Friday — Bench variant / upper body</t>
        </is>
      </c>
      <c r="E156" s="31" t="n">
        <v>2</v>
      </c>
      <c r="F156" s="30" t="inlineStr">
        <is>
          <t>Chest-supported row</t>
        </is>
      </c>
      <c r="G156" s="31" t="inlineStr">
        <is>
          <t>Accessory</t>
        </is>
      </c>
      <c r="H156" s="31" t="inlineStr">
        <is>
          <t>-</t>
        </is>
      </c>
      <c r="I156" s="29" t="n">
        <v>4</v>
      </c>
      <c r="J156" s="29" t="inlineStr">
        <is>
          <t>8</t>
        </is>
      </c>
      <c r="K156" s="29" t="inlineStr"/>
      <c r="L156" s="29" t="inlineStr"/>
      <c r="M156" s="31" t="inlineStr"/>
      <c r="N156" s="36" t="inlineStr"/>
      <c r="O156" s="12" t="inlineStr"/>
      <c r="P156" s="14" t="inlineStr"/>
    </row>
    <row r="157" ht="22" customHeight="1">
      <c r="A157" s="37" t="n">
        <v>7</v>
      </c>
      <c r="B157" s="33" t="inlineStr">
        <is>
          <t>Intensification</t>
        </is>
      </c>
      <c r="C157" s="38" t="n">
        <v>4</v>
      </c>
      <c r="D157" s="39" t="inlineStr">
        <is>
          <t>Friday — Bench variant / upper body</t>
        </is>
      </c>
      <c r="E157" s="40" t="n">
        <v>3</v>
      </c>
      <c r="F157" s="39" t="inlineStr">
        <is>
          <t>Lat pulldown</t>
        </is>
      </c>
      <c r="G157" s="40" t="inlineStr">
        <is>
          <t>Accessory</t>
        </is>
      </c>
      <c r="H157" s="40" t="inlineStr">
        <is>
          <t>-</t>
        </is>
      </c>
      <c r="I157" s="38" t="n">
        <v>3</v>
      </c>
      <c r="J157" s="38" t="inlineStr">
        <is>
          <t>10</t>
        </is>
      </c>
      <c r="K157" s="38" t="inlineStr"/>
      <c r="L157" s="29" t="inlineStr"/>
      <c r="M157" s="40" t="inlineStr"/>
      <c r="N157" s="36" t="inlineStr"/>
      <c r="O157" s="12" t="inlineStr"/>
      <c r="P157" s="14" t="inlineStr"/>
    </row>
    <row r="158" ht="22" customHeight="1">
      <c r="A158" s="27" t="n">
        <v>7</v>
      </c>
      <c r="B158" s="33" t="inlineStr">
        <is>
          <t>Intensification</t>
        </is>
      </c>
      <c r="C158" s="29" t="n">
        <v>4</v>
      </c>
      <c r="D158" s="30" t="inlineStr">
        <is>
          <t>Friday — Bench variant / upper body</t>
        </is>
      </c>
      <c r="E158" s="31" t="n">
        <v>4</v>
      </c>
      <c r="F158" s="30" t="inlineStr">
        <is>
          <t>Lateral raise</t>
        </is>
      </c>
      <c r="G158" s="31" t="inlineStr">
        <is>
          <t>Accessory</t>
        </is>
      </c>
      <c r="H158" s="31" t="inlineStr">
        <is>
          <t>-</t>
        </is>
      </c>
      <c r="I158" s="29" t="n">
        <v>3</v>
      </c>
      <c r="J158" s="29" t="inlineStr">
        <is>
          <t>15</t>
        </is>
      </c>
      <c r="K158" s="29" t="inlineStr"/>
      <c r="L158" s="29" t="inlineStr"/>
      <c r="M158" s="31" t="inlineStr"/>
      <c r="N158" s="36" t="inlineStr"/>
      <c r="O158" s="12" t="inlineStr"/>
      <c r="P158" s="14" t="inlineStr"/>
    </row>
    <row r="159" ht="22" customHeight="1">
      <c r="A159" s="37" t="n">
        <v>7</v>
      </c>
      <c r="B159" s="33" t="inlineStr">
        <is>
          <t>Intensification</t>
        </is>
      </c>
      <c r="C159" s="38" t="n">
        <v>4</v>
      </c>
      <c r="D159" s="39" t="inlineStr">
        <is>
          <t>Friday — Bench variant / upper body</t>
        </is>
      </c>
      <c r="E159" s="40" t="n">
        <v>5</v>
      </c>
      <c r="F159" s="39" t="inlineStr">
        <is>
          <t>Curl</t>
        </is>
      </c>
      <c r="G159" s="40" t="inlineStr">
        <is>
          <t>Accessory</t>
        </is>
      </c>
      <c r="H159" s="40" t="inlineStr">
        <is>
          <t>-</t>
        </is>
      </c>
      <c r="I159" s="38" t="n">
        <v>3</v>
      </c>
      <c r="J159" s="38" t="inlineStr">
        <is>
          <t>10</t>
        </is>
      </c>
      <c r="K159" s="38" t="inlineStr"/>
      <c r="L159" s="29" t="inlineStr"/>
      <c r="M159" s="40" t="inlineStr"/>
      <c r="N159" s="36" t="inlineStr"/>
      <c r="O159" s="12" t="inlineStr"/>
      <c r="P159" s="14" t="inlineStr"/>
    </row>
    <row r="160" ht="22" customHeight="1">
      <c r="A160" s="27" t="n">
        <v>7</v>
      </c>
      <c r="B160" s="33" t="inlineStr">
        <is>
          <t>Intensification</t>
        </is>
      </c>
      <c r="C160" s="29" t="n">
        <v>4</v>
      </c>
      <c r="D160" s="30" t="inlineStr">
        <is>
          <t>Friday — Bench variant / upper body</t>
        </is>
      </c>
      <c r="E160" s="31" t="n">
        <v>6</v>
      </c>
      <c r="F160" s="30" t="inlineStr">
        <is>
          <t>Pallof press</t>
        </is>
      </c>
      <c r="G160" s="31" t="inlineStr">
        <is>
          <t>Accessory</t>
        </is>
      </c>
      <c r="H160" s="31" t="inlineStr">
        <is>
          <t>-</t>
        </is>
      </c>
      <c r="I160" s="29" t="n">
        <v>3</v>
      </c>
      <c r="J160" s="29" t="inlineStr">
        <is>
          <t>10/side</t>
        </is>
      </c>
      <c r="K160" s="29" t="inlineStr"/>
      <c r="L160" s="29" t="inlineStr"/>
      <c r="M160" s="31" t="inlineStr"/>
      <c r="N160" s="36" t="inlineStr"/>
      <c r="O160" s="12" t="inlineStr"/>
      <c r="P160" s="14" t="inlineStr"/>
    </row>
    <row r="161" ht="22" customHeight="1">
      <c r="A161" s="27" t="n">
        <v>7</v>
      </c>
      <c r="B161" s="33" t="inlineStr">
        <is>
          <t>Intensification</t>
        </is>
      </c>
      <c r="C161" s="29" t="n">
        <v>5</v>
      </c>
      <c r="D161" s="30" t="inlineStr">
        <is>
          <t>Saturday — Squat variant + Rack Pull</t>
        </is>
      </c>
      <c r="E161" s="31" t="n">
        <v>1</v>
      </c>
      <c r="F161" s="32" t="inlineStr">
        <is>
          <t>Paused squat</t>
        </is>
      </c>
      <c r="G161" s="33" t="inlineStr">
        <is>
          <t>Main Lift</t>
        </is>
      </c>
      <c r="H161" s="31" t="inlineStr">
        <is>
          <t>SQUAT</t>
        </is>
      </c>
      <c r="I161" s="27" t="n">
        <v>3</v>
      </c>
      <c r="J161" s="27" t="inlineStr">
        <is>
          <t>3</t>
        </is>
      </c>
      <c r="K161" s="34" t="n">
        <v>0.75</v>
      </c>
      <c r="L161" s="35">
        <f>ROUND('Setup &amp; Dashboard'!$E$7*0.75/5, 0)*5</f>
        <v/>
      </c>
      <c r="M161" s="27" t="inlineStr">
        <is>
          <t>RPE 7-8</t>
        </is>
      </c>
      <c r="N161" s="36" t="inlineStr"/>
      <c r="O161" s="12" t="inlineStr"/>
      <c r="P161" s="14" t="inlineStr"/>
    </row>
    <row r="162" ht="22" customHeight="1">
      <c r="A162" s="27" t="n">
        <v>7</v>
      </c>
      <c r="B162" s="33" t="inlineStr">
        <is>
          <t>Intensification</t>
        </is>
      </c>
      <c r="C162" s="29" t="n">
        <v>5</v>
      </c>
      <c r="D162" s="30" t="inlineStr">
        <is>
          <t>Saturday — Squat variant + Rack Pull</t>
        </is>
      </c>
      <c r="E162" s="31" t="n">
        <v>2</v>
      </c>
      <c r="F162" s="32" t="inlineStr">
        <is>
          <t>Rack pull</t>
        </is>
      </c>
      <c r="G162" s="33" t="inlineStr">
        <is>
          <t>Main Lift</t>
        </is>
      </c>
      <c r="H162" s="31" t="inlineStr">
        <is>
          <t>RACKPULL</t>
        </is>
      </c>
      <c r="I162" s="27" t="n">
        <v>4</v>
      </c>
      <c r="J162" s="27" t="inlineStr">
        <is>
          <t>2</t>
        </is>
      </c>
      <c r="K162" s="34" t="n">
        <v>0.84</v>
      </c>
      <c r="L162" s="35">
        <f>ROUND('Setup &amp; Dashboard'!$E$10*0.84/5, 0)*5</f>
        <v/>
      </c>
      <c r="M162" s="27" t="inlineStr">
        <is>
          <t>RPE 8</t>
        </is>
      </c>
      <c r="N162" s="36" t="inlineStr"/>
      <c r="O162" s="12" t="inlineStr"/>
      <c r="P162" s="14" t="inlineStr"/>
    </row>
    <row r="163" ht="22" customHeight="1">
      <c r="A163" s="37" t="n">
        <v>7</v>
      </c>
      <c r="B163" s="33" t="inlineStr">
        <is>
          <t>Intensification</t>
        </is>
      </c>
      <c r="C163" s="38" t="n">
        <v>5</v>
      </c>
      <c r="D163" s="39" t="inlineStr">
        <is>
          <t>Saturday — Squat variant + Rack Pull</t>
        </is>
      </c>
      <c r="E163" s="40" t="n">
        <v>3</v>
      </c>
      <c r="F163" s="39" t="inlineStr">
        <is>
          <t>Reverse hyper</t>
        </is>
      </c>
      <c r="G163" s="40" t="inlineStr">
        <is>
          <t>Accessory</t>
        </is>
      </c>
      <c r="H163" s="40" t="inlineStr">
        <is>
          <t>-</t>
        </is>
      </c>
      <c r="I163" s="38" t="n">
        <v>2</v>
      </c>
      <c r="J163" s="38" t="inlineStr">
        <is>
          <t>10-12</t>
        </is>
      </c>
      <c r="K163" s="38" t="inlineStr"/>
      <c r="L163" s="29" t="inlineStr"/>
      <c r="M163" s="40" t="inlineStr"/>
      <c r="N163" s="36" t="inlineStr"/>
      <c r="O163" s="12" t="inlineStr"/>
      <c r="P163" s="14" t="inlineStr"/>
    </row>
    <row r="164" ht="22" customHeight="1">
      <c r="A164" s="27" t="n">
        <v>7</v>
      </c>
      <c r="B164" s="33" t="inlineStr">
        <is>
          <t>Intensification</t>
        </is>
      </c>
      <c r="C164" s="29" t="n">
        <v>5</v>
      </c>
      <c r="D164" s="30" t="inlineStr">
        <is>
          <t>Saturday — Squat variant + Rack Pull</t>
        </is>
      </c>
      <c r="E164" s="31" t="n">
        <v>4</v>
      </c>
      <c r="F164" s="30" t="inlineStr">
        <is>
          <t>GHR or Nordic curl</t>
        </is>
      </c>
      <c r="G164" s="31" t="inlineStr">
        <is>
          <t>Accessory</t>
        </is>
      </c>
      <c r="H164" s="31" t="inlineStr">
        <is>
          <t>-</t>
        </is>
      </c>
      <c r="I164" s="29" t="n">
        <v>3</v>
      </c>
      <c r="J164" s="29" t="inlineStr">
        <is>
          <t>8</t>
        </is>
      </c>
      <c r="K164" s="29" t="inlineStr"/>
      <c r="L164" s="29" t="inlineStr"/>
      <c r="M164" s="31" t="inlineStr"/>
      <c r="N164" s="36" t="inlineStr"/>
      <c r="O164" s="12" t="inlineStr"/>
      <c r="P164" s="14" t="inlineStr"/>
    </row>
    <row r="165" ht="22" customHeight="1">
      <c r="A165" s="27" t="n">
        <v>8</v>
      </c>
      <c r="B165" s="33" t="inlineStr">
        <is>
          <t>Intensification</t>
        </is>
      </c>
      <c r="C165" s="29" t="n">
        <v>1</v>
      </c>
      <c r="D165" s="30" t="inlineStr">
        <is>
          <t>Monday — Squat</t>
        </is>
      </c>
      <c r="E165" s="31" t="n">
        <v>1</v>
      </c>
      <c r="F165" s="32" t="inlineStr">
        <is>
          <t>Squat</t>
        </is>
      </c>
      <c r="G165" s="33" t="inlineStr">
        <is>
          <t>Main Lift</t>
        </is>
      </c>
      <c r="H165" s="31" t="inlineStr">
        <is>
          <t>SQUAT</t>
        </is>
      </c>
      <c r="I165" s="27" t="n">
        <v>4</v>
      </c>
      <c r="J165" s="27" t="inlineStr">
        <is>
          <t>2</t>
        </is>
      </c>
      <c r="K165" s="34" t="n">
        <v>0.9</v>
      </c>
      <c r="L165" s="35">
        <f>ROUND('Setup &amp; Dashboard'!$E$7*0.9/5, 0)*5</f>
        <v/>
      </c>
      <c r="M165" s="27" t="inlineStr">
        <is>
          <t>RPE 8-9</t>
        </is>
      </c>
      <c r="N165" s="36" t="inlineStr"/>
      <c r="O165" s="12" t="inlineStr"/>
      <c r="P165" s="14" t="inlineStr"/>
    </row>
    <row r="166" ht="22" customHeight="1">
      <c r="A166" s="27" t="n">
        <v>8</v>
      </c>
      <c r="B166" s="33" t="inlineStr">
        <is>
          <t>Intensification</t>
        </is>
      </c>
      <c r="C166" s="29" t="n">
        <v>1</v>
      </c>
      <c r="D166" s="30" t="inlineStr">
        <is>
          <t>Monday — Squat</t>
        </is>
      </c>
      <c r="E166" s="31" t="n">
        <v>2</v>
      </c>
      <c r="F166" s="30" t="inlineStr">
        <is>
          <t>Split squat</t>
        </is>
      </c>
      <c r="G166" s="31" t="inlineStr">
        <is>
          <t>Accessory</t>
        </is>
      </c>
      <c r="H166" s="31" t="inlineStr">
        <is>
          <t>-</t>
        </is>
      </c>
      <c r="I166" s="29" t="n">
        <v>2</v>
      </c>
      <c r="J166" s="29" t="inlineStr">
        <is>
          <t>8/leg</t>
        </is>
      </c>
      <c r="K166" s="29" t="inlineStr"/>
      <c r="L166" s="29" t="inlineStr"/>
      <c r="M166" s="31" t="inlineStr"/>
      <c r="N166" s="36" t="inlineStr"/>
      <c r="O166" s="12" t="inlineStr"/>
      <c r="P166" s="14" t="inlineStr"/>
    </row>
    <row r="167" ht="22" customHeight="1">
      <c r="A167" s="37" t="n">
        <v>8</v>
      </c>
      <c r="B167" s="33" t="inlineStr">
        <is>
          <t>Intensification</t>
        </is>
      </c>
      <c r="C167" s="38" t="n">
        <v>1</v>
      </c>
      <c r="D167" s="39" t="inlineStr">
        <is>
          <t>Monday — Squat</t>
        </is>
      </c>
      <c r="E167" s="40" t="n">
        <v>3</v>
      </c>
      <c r="F167" s="39" t="inlineStr">
        <is>
          <t>Leg curl</t>
        </is>
      </c>
      <c r="G167" s="40" t="inlineStr">
        <is>
          <t>Accessory</t>
        </is>
      </c>
      <c r="H167" s="40" t="inlineStr">
        <is>
          <t>-</t>
        </is>
      </c>
      <c r="I167" s="38" t="n">
        <v>2</v>
      </c>
      <c r="J167" s="38" t="inlineStr">
        <is>
          <t>10</t>
        </is>
      </c>
      <c r="K167" s="38" t="inlineStr"/>
      <c r="L167" s="29" t="inlineStr"/>
      <c r="M167" s="40" t="inlineStr"/>
      <c r="N167" s="36" t="inlineStr"/>
      <c r="O167" s="12" t="inlineStr"/>
      <c r="P167" s="14" t="inlineStr"/>
    </row>
    <row r="168" ht="22" customHeight="1">
      <c r="A168" s="27" t="n">
        <v>8</v>
      </c>
      <c r="B168" s="33" t="inlineStr">
        <is>
          <t>Intensification</t>
        </is>
      </c>
      <c r="C168" s="29" t="n">
        <v>1</v>
      </c>
      <c r="D168" s="30" t="inlineStr">
        <is>
          <t>Monday — Squat</t>
        </is>
      </c>
      <c r="E168" s="31" t="n">
        <v>4</v>
      </c>
      <c r="F168" s="30" t="inlineStr">
        <is>
          <t>Copenhagen plank</t>
        </is>
      </c>
      <c r="G168" s="31" t="inlineStr">
        <is>
          <t>Accessory</t>
        </is>
      </c>
      <c r="H168" s="31" t="inlineStr">
        <is>
          <t>-</t>
        </is>
      </c>
      <c r="I168" s="29" t="n">
        <v>3</v>
      </c>
      <c r="J168" s="29" t="inlineStr">
        <is>
          <t>15-20sec/side</t>
        </is>
      </c>
      <c r="K168" s="29" t="inlineStr"/>
      <c r="L168" s="29" t="inlineStr"/>
      <c r="M168" s="31" t="inlineStr"/>
      <c r="N168" s="36" t="inlineStr"/>
      <c r="O168" s="12" t="inlineStr"/>
      <c r="P168" s="14" t="inlineStr"/>
    </row>
    <row r="169" ht="22" customHeight="1">
      <c r="A169" s="27" t="n">
        <v>8</v>
      </c>
      <c r="B169" s="33" t="inlineStr">
        <is>
          <t>Intensification</t>
        </is>
      </c>
      <c r="C169" s="29" t="n">
        <v>2</v>
      </c>
      <c r="D169" s="30" t="inlineStr">
        <is>
          <t>Tuesday — Bench</t>
        </is>
      </c>
      <c r="E169" s="31" t="n">
        <v>1</v>
      </c>
      <c r="F169" s="32" t="inlineStr">
        <is>
          <t>Bench</t>
        </is>
      </c>
      <c r="G169" s="33" t="inlineStr">
        <is>
          <t>Main Lift</t>
        </is>
      </c>
      <c r="H169" s="31" t="inlineStr">
        <is>
          <t>BENCH</t>
        </is>
      </c>
      <c r="I169" s="27" t="n">
        <v>5</v>
      </c>
      <c r="J169" s="27" t="inlineStr">
        <is>
          <t>2</t>
        </is>
      </c>
      <c r="K169" s="34" t="n">
        <v>0.9</v>
      </c>
      <c r="L169" s="35">
        <f>ROUND('Setup &amp; Dashboard'!$E$8*0.9/5, 0)*5</f>
        <v/>
      </c>
      <c r="M169" s="27" t="inlineStr">
        <is>
          <t>RPE 8-9</t>
        </is>
      </c>
      <c r="N169" s="36" t="inlineStr"/>
      <c r="O169" s="12" t="inlineStr"/>
      <c r="P169" s="14" t="inlineStr"/>
    </row>
    <row r="170" ht="22" customHeight="1">
      <c r="A170" s="27" t="n">
        <v>8</v>
      </c>
      <c r="B170" s="33" t="inlineStr">
        <is>
          <t>Intensification</t>
        </is>
      </c>
      <c r="C170" s="29" t="n">
        <v>2</v>
      </c>
      <c r="D170" s="30" t="inlineStr">
        <is>
          <t>Tuesday — Bench</t>
        </is>
      </c>
      <c r="E170" s="31" t="n">
        <v>2</v>
      </c>
      <c r="F170" s="30" t="inlineStr">
        <is>
          <t>Close-grip bench</t>
        </is>
      </c>
      <c r="G170" s="31" t="inlineStr">
        <is>
          <t>Accessory</t>
        </is>
      </c>
      <c r="H170" s="31" t="inlineStr">
        <is>
          <t>-</t>
        </is>
      </c>
      <c r="I170" s="29" t="n">
        <v>3</v>
      </c>
      <c r="J170" s="29" t="inlineStr">
        <is>
          <t>4</t>
        </is>
      </c>
      <c r="K170" s="29" t="inlineStr"/>
      <c r="L170" s="29" t="inlineStr"/>
      <c r="M170" s="31" t="inlineStr"/>
      <c r="N170" s="36" t="inlineStr"/>
      <c r="O170" s="12" t="inlineStr"/>
      <c r="P170" s="14" t="inlineStr"/>
    </row>
    <row r="171" ht="22" customHeight="1">
      <c r="A171" s="37" t="n">
        <v>8</v>
      </c>
      <c r="B171" s="33" t="inlineStr">
        <is>
          <t>Intensification</t>
        </is>
      </c>
      <c r="C171" s="38" t="n">
        <v>2</v>
      </c>
      <c r="D171" s="39" t="inlineStr">
        <is>
          <t>Tuesday — Bench</t>
        </is>
      </c>
      <c r="E171" s="40" t="n">
        <v>3</v>
      </c>
      <c r="F171" s="39" t="inlineStr">
        <is>
          <t>Incline DB press</t>
        </is>
      </c>
      <c r="G171" s="40" t="inlineStr">
        <is>
          <t>Accessory</t>
        </is>
      </c>
      <c r="H171" s="40" t="inlineStr">
        <is>
          <t>-</t>
        </is>
      </c>
      <c r="I171" s="38" t="n">
        <v>2</v>
      </c>
      <c r="J171" s="38" t="inlineStr">
        <is>
          <t>8</t>
        </is>
      </c>
      <c r="K171" s="38" t="inlineStr"/>
      <c r="L171" s="29" t="inlineStr"/>
      <c r="M171" s="40" t="inlineStr"/>
      <c r="N171" s="36" t="inlineStr"/>
      <c r="O171" s="12" t="inlineStr"/>
      <c r="P171" s="14" t="inlineStr"/>
    </row>
    <row r="172" ht="22" customHeight="1">
      <c r="A172" s="27" t="n">
        <v>8</v>
      </c>
      <c r="B172" s="33" t="inlineStr">
        <is>
          <t>Intensification</t>
        </is>
      </c>
      <c r="C172" s="29" t="n">
        <v>2</v>
      </c>
      <c r="D172" s="30" t="inlineStr">
        <is>
          <t>Tuesday — Bench</t>
        </is>
      </c>
      <c r="E172" s="31" t="n">
        <v>4</v>
      </c>
      <c r="F172" s="30" t="inlineStr">
        <is>
          <t>Triceps pressdown</t>
        </is>
      </c>
      <c r="G172" s="31" t="inlineStr">
        <is>
          <t>Accessory</t>
        </is>
      </c>
      <c r="H172" s="31" t="inlineStr">
        <is>
          <t>-</t>
        </is>
      </c>
      <c r="I172" s="29" t="n">
        <v>2</v>
      </c>
      <c r="J172" s="29" t="inlineStr">
        <is>
          <t>12</t>
        </is>
      </c>
      <c r="K172" s="29" t="inlineStr"/>
      <c r="L172" s="29" t="inlineStr"/>
      <c r="M172" s="31" t="inlineStr"/>
      <c r="N172" s="36" t="inlineStr"/>
      <c r="O172" s="12" t="inlineStr"/>
      <c r="P172" s="14" t="inlineStr"/>
    </row>
    <row r="173" ht="22" customHeight="1">
      <c r="A173" s="37" t="n">
        <v>8</v>
      </c>
      <c r="B173" s="33" t="inlineStr">
        <is>
          <t>Intensification</t>
        </is>
      </c>
      <c r="C173" s="38" t="n">
        <v>2</v>
      </c>
      <c r="D173" s="39" t="inlineStr">
        <is>
          <t>Tuesday — Bench</t>
        </is>
      </c>
      <c r="E173" s="40" t="n">
        <v>5</v>
      </c>
      <c r="F173" s="39" t="inlineStr">
        <is>
          <t>Face pull</t>
        </is>
      </c>
      <c r="G173" s="40" t="inlineStr">
        <is>
          <t>Accessory</t>
        </is>
      </c>
      <c r="H173" s="40" t="inlineStr">
        <is>
          <t>-</t>
        </is>
      </c>
      <c r="I173" s="38" t="n">
        <v>2</v>
      </c>
      <c r="J173" s="38" t="inlineStr">
        <is>
          <t>15</t>
        </is>
      </c>
      <c r="K173" s="38" t="inlineStr"/>
      <c r="L173" s="29" t="inlineStr"/>
      <c r="M173" s="40" t="inlineStr"/>
      <c r="N173" s="36" t="inlineStr"/>
      <c r="O173" s="12" t="inlineStr"/>
      <c r="P173" s="14" t="inlineStr"/>
    </row>
    <row r="174" ht="22" customHeight="1">
      <c r="A174" s="27" t="n">
        <v>8</v>
      </c>
      <c r="B174" s="33" t="inlineStr">
        <is>
          <t>Intensification</t>
        </is>
      </c>
      <c r="C174" s="29" t="n">
        <v>3</v>
      </c>
      <c r="D174" s="30" t="inlineStr">
        <is>
          <t>Thursday — Deadlift</t>
        </is>
      </c>
      <c r="E174" s="31" t="n">
        <v>1</v>
      </c>
      <c r="F174" s="32" t="inlineStr">
        <is>
          <t>Deadlift</t>
        </is>
      </c>
      <c r="G174" s="33" t="inlineStr">
        <is>
          <t>Main Lift</t>
        </is>
      </c>
      <c r="H174" s="31" t="inlineStr">
        <is>
          <t>DEADLIFT</t>
        </is>
      </c>
      <c r="I174" s="27" t="n">
        <v>3</v>
      </c>
      <c r="J174" s="27" t="inlineStr">
        <is>
          <t>2</t>
        </is>
      </c>
      <c r="K174" s="34" t="n">
        <v>0.89</v>
      </c>
      <c r="L174" s="35">
        <f>ROUND('Setup &amp; Dashboard'!$E$9*0.89/5, 0)*5</f>
        <v/>
      </c>
      <c r="M174" s="27" t="inlineStr">
        <is>
          <t>RPE 8-9</t>
        </is>
      </c>
      <c r="N174" s="36" t="inlineStr"/>
      <c r="O174" s="12" t="inlineStr"/>
      <c r="P174" s="14" t="inlineStr"/>
    </row>
    <row r="175" ht="22" customHeight="1">
      <c r="A175" s="37" t="n">
        <v>8</v>
      </c>
      <c r="B175" s="33" t="inlineStr">
        <is>
          <t>Intensification</t>
        </is>
      </c>
      <c r="C175" s="38" t="n">
        <v>3</v>
      </c>
      <c r="D175" s="39" t="inlineStr">
        <is>
          <t>Thursday — Deadlift</t>
        </is>
      </c>
      <c r="E175" s="40" t="n">
        <v>2</v>
      </c>
      <c r="F175" s="39" t="inlineStr">
        <is>
          <t>Reverse hyper</t>
        </is>
      </c>
      <c r="G175" s="40" t="inlineStr">
        <is>
          <t>Accessory</t>
        </is>
      </c>
      <c r="H175" s="40" t="inlineStr">
        <is>
          <t>-</t>
        </is>
      </c>
      <c r="I175" s="38" t="n">
        <v>2</v>
      </c>
      <c r="J175" s="38" t="inlineStr">
        <is>
          <t>10</t>
        </is>
      </c>
      <c r="K175" s="38" t="inlineStr"/>
      <c r="L175" s="29" t="inlineStr"/>
      <c r="M175" s="40" t="inlineStr"/>
      <c r="N175" s="36" t="inlineStr"/>
      <c r="O175" s="12" t="inlineStr"/>
      <c r="P175" s="14" t="inlineStr"/>
    </row>
    <row r="176" ht="22" customHeight="1">
      <c r="A176" s="27" t="n">
        <v>8</v>
      </c>
      <c r="B176" s="33" t="inlineStr">
        <is>
          <t>Intensification</t>
        </is>
      </c>
      <c r="C176" s="29" t="n">
        <v>3</v>
      </c>
      <c r="D176" s="30" t="inlineStr">
        <is>
          <t>Thursday — Deadlift</t>
        </is>
      </c>
      <c r="E176" s="31" t="n">
        <v>3</v>
      </c>
      <c r="F176" s="30" t="inlineStr">
        <is>
          <t>Jefferson curl</t>
        </is>
      </c>
      <c r="G176" s="31" t="inlineStr">
        <is>
          <t>Accessory</t>
        </is>
      </c>
      <c r="H176" s="31" t="inlineStr">
        <is>
          <t>-</t>
        </is>
      </c>
      <c r="I176" s="29" t="n">
        <v>2</v>
      </c>
      <c r="J176" s="29" t="inlineStr">
        <is>
          <t>6</t>
        </is>
      </c>
      <c r="K176" s="29" t="inlineStr"/>
      <c r="L176" s="29" t="inlineStr"/>
      <c r="M176" s="31" t="inlineStr"/>
      <c r="N176" s="36" t="inlineStr"/>
      <c r="O176" s="12" t="inlineStr"/>
      <c r="P176" s="14" t="inlineStr"/>
    </row>
    <row r="177" ht="22" customHeight="1">
      <c r="A177" s="27" t="n">
        <v>8</v>
      </c>
      <c r="B177" s="33" t="inlineStr">
        <is>
          <t>Intensification</t>
        </is>
      </c>
      <c r="C177" s="29" t="n">
        <v>4</v>
      </c>
      <c r="D177" s="30" t="inlineStr">
        <is>
          <t>Friday — Bench variant / upper body</t>
        </is>
      </c>
      <c r="E177" s="31" t="n">
        <v>1</v>
      </c>
      <c r="F177" s="32" t="inlineStr">
        <is>
          <t>Paused bench</t>
        </is>
      </c>
      <c r="G177" s="33" t="inlineStr">
        <is>
          <t>Main Lift</t>
        </is>
      </c>
      <c r="H177" s="31" t="inlineStr">
        <is>
          <t>BENCH</t>
        </is>
      </c>
      <c r="I177" s="27" t="n">
        <v>3</v>
      </c>
      <c r="J177" s="27" t="inlineStr">
        <is>
          <t>2</t>
        </is>
      </c>
      <c r="K177" s="34" t="n">
        <v>0.7</v>
      </c>
      <c r="L177" s="35">
        <f>ROUND('Setup &amp; Dashboard'!$E$8*0.7/5, 0)*5</f>
        <v/>
      </c>
      <c r="M177" s="27" t="inlineStr">
        <is>
          <t>RPE 7</t>
        </is>
      </c>
      <c r="N177" s="36" t="inlineStr"/>
      <c r="O177" s="12" t="inlineStr"/>
      <c r="P177" s="14" t="inlineStr"/>
    </row>
    <row r="178" ht="22" customHeight="1">
      <c r="A178" s="27" t="n">
        <v>8</v>
      </c>
      <c r="B178" s="33" t="inlineStr">
        <is>
          <t>Intensification</t>
        </is>
      </c>
      <c r="C178" s="29" t="n">
        <v>4</v>
      </c>
      <c r="D178" s="30" t="inlineStr">
        <is>
          <t>Friday — Bench variant / upper body</t>
        </is>
      </c>
      <c r="E178" s="31" t="n">
        <v>2</v>
      </c>
      <c r="F178" s="30" t="inlineStr">
        <is>
          <t>Chest-supported row</t>
        </is>
      </c>
      <c r="G178" s="31" t="inlineStr">
        <is>
          <t>Accessory</t>
        </is>
      </c>
      <c r="H178" s="31" t="inlineStr">
        <is>
          <t>-</t>
        </is>
      </c>
      <c r="I178" s="29" t="n">
        <v>3</v>
      </c>
      <c r="J178" s="29" t="inlineStr">
        <is>
          <t>8</t>
        </is>
      </c>
      <c r="K178" s="29" t="inlineStr"/>
      <c r="L178" s="29" t="inlineStr"/>
      <c r="M178" s="31" t="inlineStr"/>
      <c r="N178" s="36" t="inlineStr"/>
      <c r="O178" s="12" t="inlineStr"/>
      <c r="P178" s="14" t="inlineStr"/>
    </row>
    <row r="179" ht="22" customHeight="1">
      <c r="A179" s="37" t="n">
        <v>8</v>
      </c>
      <c r="B179" s="33" t="inlineStr">
        <is>
          <t>Intensification</t>
        </is>
      </c>
      <c r="C179" s="38" t="n">
        <v>4</v>
      </c>
      <c r="D179" s="39" t="inlineStr">
        <is>
          <t>Friday — Bench variant / upper body</t>
        </is>
      </c>
      <c r="E179" s="40" t="n">
        <v>3</v>
      </c>
      <c r="F179" s="39" t="inlineStr">
        <is>
          <t>Lat pulldown</t>
        </is>
      </c>
      <c r="G179" s="40" t="inlineStr">
        <is>
          <t>Accessory</t>
        </is>
      </c>
      <c r="H179" s="40" t="inlineStr">
        <is>
          <t>-</t>
        </is>
      </c>
      <c r="I179" s="38" t="n">
        <v>3</v>
      </c>
      <c r="J179" s="38" t="inlineStr">
        <is>
          <t>10</t>
        </is>
      </c>
      <c r="K179" s="38" t="inlineStr"/>
      <c r="L179" s="29" t="inlineStr"/>
      <c r="M179" s="40" t="inlineStr"/>
      <c r="N179" s="36" t="inlineStr"/>
      <c r="O179" s="12" t="inlineStr"/>
      <c r="P179" s="14" t="inlineStr"/>
    </row>
    <row r="180" ht="22" customHeight="1">
      <c r="A180" s="27" t="n">
        <v>8</v>
      </c>
      <c r="B180" s="33" t="inlineStr">
        <is>
          <t>Intensification</t>
        </is>
      </c>
      <c r="C180" s="29" t="n">
        <v>4</v>
      </c>
      <c r="D180" s="30" t="inlineStr">
        <is>
          <t>Friday — Bench variant / upper body</t>
        </is>
      </c>
      <c r="E180" s="31" t="n">
        <v>4</v>
      </c>
      <c r="F180" s="30" t="inlineStr">
        <is>
          <t>Lateral raise</t>
        </is>
      </c>
      <c r="G180" s="31" t="inlineStr">
        <is>
          <t>Accessory</t>
        </is>
      </c>
      <c r="H180" s="31" t="inlineStr">
        <is>
          <t>-</t>
        </is>
      </c>
      <c r="I180" s="29" t="n">
        <v>3</v>
      </c>
      <c r="J180" s="29" t="inlineStr">
        <is>
          <t>15</t>
        </is>
      </c>
      <c r="K180" s="29" t="inlineStr"/>
      <c r="L180" s="29" t="inlineStr"/>
      <c r="M180" s="31" t="inlineStr"/>
      <c r="N180" s="36" t="inlineStr"/>
      <c r="O180" s="12" t="inlineStr"/>
      <c r="P180" s="14" t="inlineStr"/>
    </row>
    <row r="181" ht="22" customHeight="1">
      <c r="A181" s="37" t="n">
        <v>8</v>
      </c>
      <c r="B181" s="33" t="inlineStr">
        <is>
          <t>Intensification</t>
        </is>
      </c>
      <c r="C181" s="38" t="n">
        <v>4</v>
      </c>
      <c r="D181" s="39" t="inlineStr">
        <is>
          <t>Friday — Bench variant / upper body</t>
        </is>
      </c>
      <c r="E181" s="40" t="n">
        <v>5</v>
      </c>
      <c r="F181" s="39" t="inlineStr">
        <is>
          <t>Curl</t>
        </is>
      </c>
      <c r="G181" s="40" t="inlineStr">
        <is>
          <t>Accessory</t>
        </is>
      </c>
      <c r="H181" s="40" t="inlineStr">
        <is>
          <t>-</t>
        </is>
      </c>
      <c r="I181" s="38" t="n">
        <v>3</v>
      </c>
      <c r="J181" s="38" t="inlineStr">
        <is>
          <t>10</t>
        </is>
      </c>
      <c r="K181" s="38" t="inlineStr"/>
      <c r="L181" s="29" t="inlineStr"/>
      <c r="M181" s="40" t="inlineStr"/>
      <c r="N181" s="36" t="inlineStr"/>
      <c r="O181" s="12" t="inlineStr"/>
      <c r="P181" s="14" t="inlineStr"/>
    </row>
    <row r="182" ht="22" customHeight="1">
      <c r="A182" s="27" t="n">
        <v>8</v>
      </c>
      <c r="B182" s="33" t="inlineStr">
        <is>
          <t>Intensification</t>
        </is>
      </c>
      <c r="C182" s="29" t="n">
        <v>4</v>
      </c>
      <c r="D182" s="30" t="inlineStr">
        <is>
          <t>Friday — Bench variant / upper body</t>
        </is>
      </c>
      <c r="E182" s="31" t="n">
        <v>6</v>
      </c>
      <c r="F182" s="30" t="inlineStr">
        <is>
          <t>Pallof press</t>
        </is>
      </c>
      <c r="G182" s="31" t="inlineStr">
        <is>
          <t>Accessory</t>
        </is>
      </c>
      <c r="H182" s="31" t="inlineStr">
        <is>
          <t>-</t>
        </is>
      </c>
      <c r="I182" s="29" t="n">
        <v>2</v>
      </c>
      <c r="J182" s="29" t="inlineStr">
        <is>
          <t>10/side</t>
        </is>
      </c>
      <c r="K182" s="29" t="inlineStr"/>
      <c r="L182" s="29" t="inlineStr"/>
      <c r="M182" s="31" t="inlineStr"/>
      <c r="N182" s="36" t="inlineStr"/>
      <c r="O182" s="12" t="inlineStr"/>
      <c r="P182" s="14" t="inlineStr"/>
    </row>
    <row r="183" ht="22" customHeight="1">
      <c r="A183" s="27" t="n">
        <v>8</v>
      </c>
      <c r="B183" s="33" t="inlineStr">
        <is>
          <t>Intensification</t>
        </is>
      </c>
      <c r="C183" s="29" t="n">
        <v>5</v>
      </c>
      <c r="D183" s="30" t="inlineStr">
        <is>
          <t>Saturday — Squat variant + Rack Pull</t>
        </is>
      </c>
      <c r="E183" s="31" t="n">
        <v>1</v>
      </c>
      <c r="F183" s="32" t="inlineStr">
        <is>
          <t>Tempo squat</t>
        </is>
      </c>
      <c r="G183" s="33" t="inlineStr">
        <is>
          <t>Main Lift</t>
        </is>
      </c>
      <c r="H183" s="31" t="inlineStr">
        <is>
          <t>SQUAT</t>
        </is>
      </c>
      <c r="I183" s="27" t="n">
        <v>2</v>
      </c>
      <c r="J183" s="27" t="inlineStr">
        <is>
          <t>3</t>
        </is>
      </c>
      <c r="K183" s="34" t="n">
        <v>0.75</v>
      </c>
      <c r="L183" s="35">
        <f>ROUND('Setup &amp; Dashboard'!$E$7*0.75/5, 0)*5</f>
        <v/>
      </c>
      <c r="M183" s="27" t="inlineStr">
        <is>
          <t>RPE 7-8</t>
        </is>
      </c>
      <c r="N183" s="36" t="inlineStr"/>
      <c r="O183" s="12" t="inlineStr"/>
      <c r="P183" s="14" t="inlineStr"/>
    </row>
    <row r="184" ht="22" customHeight="1">
      <c r="A184" s="27" t="n">
        <v>8</v>
      </c>
      <c r="B184" s="33" t="inlineStr">
        <is>
          <t>Intensification</t>
        </is>
      </c>
      <c r="C184" s="29" t="n">
        <v>5</v>
      </c>
      <c r="D184" s="30" t="inlineStr">
        <is>
          <t>Saturday — Squat variant + Rack Pull</t>
        </is>
      </c>
      <c r="E184" s="31" t="n">
        <v>2</v>
      </c>
      <c r="F184" s="32" t="inlineStr">
        <is>
          <t>Rack pull</t>
        </is>
      </c>
      <c r="G184" s="33" t="inlineStr">
        <is>
          <t>Main Lift</t>
        </is>
      </c>
      <c r="H184" s="31" t="inlineStr">
        <is>
          <t>RACKPULL</t>
        </is>
      </c>
      <c r="I184" s="27" t="n">
        <v>3</v>
      </c>
      <c r="J184" s="27" t="inlineStr">
        <is>
          <t>2</t>
        </is>
      </c>
      <c r="K184" s="34" t="n">
        <v>0.88</v>
      </c>
      <c r="L184" s="35">
        <f>ROUND('Setup &amp; Dashboard'!$E$10*0.88/5, 0)*5</f>
        <v/>
      </c>
      <c r="M184" s="27" t="inlineStr">
        <is>
          <t>RPE 8-9</t>
        </is>
      </c>
      <c r="N184" s="36" t="inlineStr"/>
      <c r="O184" s="12" t="inlineStr"/>
      <c r="P184" s="14" t="inlineStr"/>
    </row>
    <row r="185" ht="22" customHeight="1">
      <c r="A185" s="37" t="n">
        <v>8</v>
      </c>
      <c r="B185" s="33" t="inlineStr">
        <is>
          <t>Intensification</t>
        </is>
      </c>
      <c r="C185" s="38" t="n">
        <v>5</v>
      </c>
      <c r="D185" s="39" t="inlineStr">
        <is>
          <t>Saturday — Squat variant + Rack Pull</t>
        </is>
      </c>
      <c r="E185" s="40" t="n">
        <v>3</v>
      </c>
      <c r="F185" s="39" t="inlineStr">
        <is>
          <t>Reverse hyper</t>
        </is>
      </c>
      <c r="G185" s="40" t="inlineStr">
        <is>
          <t>Accessory</t>
        </is>
      </c>
      <c r="H185" s="40" t="inlineStr">
        <is>
          <t>-</t>
        </is>
      </c>
      <c r="I185" s="38" t="n">
        <v>2</v>
      </c>
      <c r="J185" s="38" t="inlineStr">
        <is>
          <t>10</t>
        </is>
      </c>
      <c r="K185" s="38" t="inlineStr"/>
      <c r="L185" s="29" t="inlineStr"/>
      <c r="M185" s="40" t="inlineStr"/>
      <c r="N185" s="36" t="inlineStr"/>
      <c r="O185" s="12" t="inlineStr"/>
      <c r="P185" s="14" t="inlineStr"/>
    </row>
    <row r="186" ht="22" customHeight="1">
      <c r="A186" s="27" t="n">
        <v>8</v>
      </c>
      <c r="B186" s="33" t="inlineStr">
        <is>
          <t>Intensification</t>
        </is>
      </c>
      <c r="C186" s="29" t="n">
        <v>5</v>
      </c>
      <c r="D186" s="30" t="inlineStr">
        <is>
          <t>Saturday — Squat variant + Rack Pull</t>
        </is>
      </c>
      <c r="E186" s="31" t="n">
        <v>4</v>
      </c>
      <c r="F186" s="30" t="inlineStr">
        <is>
          <t>GHR or Nordic curl</t>
        </is>
      </c>
      <c r="G186" s="31" t="inlineStr">
        <is>
          <t>Accessory</t>
        </is>
      </c>
      <c r="H186" s="31" t="inlineStr">
        <is>
          <t>-</t>
        </is>
      </c>
      <c r="I186" s="29" t="n">
        <v>2</v>
      </c>
      <c r="J186" s="29" t="inlineStr">
        <is>
          <t>8</t>
        </is>
      </c>
      <c r="K186" s="29" t="inlineStr"/>
      <c r="L186" s="29" t="inlineStr"/>
      <c r="M186" s="31" t="inlineStr"/>
      <c r="N186" s="36" t="inlineStr"/>
      <c r="O186" s="12" t="inlineStr"/>
      <c r="P186" s="14" t="inlineStr"/>
    </row>
    <row r="187" ht="22" customHeight="1">
      <c r="A187" s="27" t="n">
        <v>9</v>
      </c>
      <c r="B187" s="46" t="inlineStr">
        <is>
          <t>Top of Intensification</t>
        </is>
      </c>
      <c r="C187" s="29" t="n">
        <v>1</v>
      </c>
      <c r="D187" s="30" t="inlineStr">
        <is>
          <t>Monday — Squat</t>
        </is>
      </c>
      <c r="E187" s="31" t="n">
        <v>1</v>
      </c>
      <c r="F187" s="32" t="inlineStr">
        <is>
          <t>Squat</t>
        </is>
      </c>
      <c r="G187" s="33" t="inlineStr">
        <is>
          <t>Main Lift</t>
        </is>
      </c>
      <c r="H187" s="31" t="inlineStr">
        <is>
          <t>SQUAT</t>
        </is>
      </c>
      <c r="I187" s="27" t="n">
        <v>3</v>
      </c>
      <c r="J187" s="27" t="inlineStr">
        <is>
          <t>2</t>
        </is>
      </c>
      <c r="K187" s="34" t="n">
        <v>0.9</v>
      </c>
      <c r="L187" s="35">
        <f>ROUND('Setup &amp; Dashboard'!$E$7*0.9/5, 0)*5</f>
        <v/>
      </c>
      <c r="M187" s="27" t="inlineStr">
        <is>
          <t>RPE 8-9</t>
        </is>
      </c>
      <c r="N187" s="42" t="inlineStr">
        <is>
          <t>Optional top single @ 92% TM — only if bar speed on the last double was crisp. Skip if not.</t>
        </is>
      </c>
      <c r="O187" s="12" t="inlineStr"/>
      <c r="P187" s="14" t="inlineStr"/>
    </row>
    <row r="188" ht="22" customHeight="1">
      <c r="A188" s="27" t="n">
        <v>9</v>
      </c>
      <c r="B188" s="46" t="inlineStr">
        <is>
          <t>Top of Intensification</t>
        </is>
      </c>
      <c r="C188" s="29" t="n">
        <v>1</v>
      </c>
      <c r="D188" s="30" t="inlineStr">
        <is>
          <t>Monday — Squat</t>
        </is>
      </c>
      <c r="E188" s="31" t="n">
        <v>2</v>
      </c>
      <c r="F188" s="30" t="inlineStr">
        <is>
          <t>Split squat</t>
        </is>
      </c>
      <c r="G188" s="31" t="inlineStr">
        <is>
          <t>Accessory</t>
        </is>
      </c>
      <c r="H188" s="31" t="inlineStr">
        <is>
          <t>-</t>
        </is>
      </c>
      <c r="I188" s="29" t="n">
        <v>2</v>
      </c>
      <c r="J188" s="29" t="inlineStr">
        <is>
          <t>8/leg</t>
        </is>
      </c>
      <c r="K188" s="29" t="inlineStr"/>
      <c r="L188" s="29" t="inlineStr"/>
      <c r="M188" s="31" t="inlineStr"/>
      <c r="N188" s="36" t="inlineStr"/>
      <c r="O188" s="12" t="inlineStr"/>
      <c r="P188" s="14" t="inlineStr"/>
    </row>
    <row r="189" ht="22" customHeight="1">
      <c r="A189" s="37" t="n">
        <v>9</v>
      </c>
      <c r="B189" s="46" t="inlineStr">
        <is>
          <t>Top of Intensification</t>
        </is>
      </c>
      <c r="C189" s="38" t="n">
        <v>1</v>
      </c>
      <c r="D189" s="39" t="inlineStr">
        <is>
          <t>Monday — Squat</t>
        </is>
      </c>
      <c r="E189" s="40" t="n">
        <v>3</v>
      </c>
      <c r="F189" s="39" t="inlineStr">
        <is>
          <t>Leg curl</t>
        </is>
      </c>
      <c r="G189" s="40" t="inlineStr">
        <is>
          <t>Accessory</t>
        </is>
      </c>
      <c r="H189" s="40" t="inlineStr">
        <is>
          <t>-</t>
        </is>
      </c>
      <c r="I189" s="38" t="n">
        <v>2</v>
      </c>
      <c r="J189" s="38" t="inlineStr">
        <is>
          <t>10</t>
        </is>
      </c>
      <c r="K189" s="38" t="inlineStr"/>
      <c r="L189" s="29" t="inlineStr"/>
      <c r="M189" s="40" t="inlineStr"/>
      <c r="N189" s="36" t="inlineStr"/>
      <c r="O189" s="12" t="inlineStr"/>
      <c r="P189" s="14" t="inlineStr"/>
    </row>
    <row r="190" ht="22" customHeight="1">
      <c r="A190" s="27" t="n">
        <v>9</v>
      </c>
      <c r="B190" s="46" t="inlineStr">
        <is>
          <t>Top of Intensification</t>
        </is>
      </c>
      <c r="C190" s="29" t="n">
        <v>1</v>
      </c>
      <c r="D190" s="30" t="inlineStr">
        <is>
          <t>Monday — Squat</t>
        </is>
      </c>
      <c r="E190" s="31" t="n">
        <v>4</v>
      </c>
      <c r="F190" s="30" t="inlineStr">
        <is>
          <t>Copenhagen plank</t>
        </is>
      </c>
      <c r="G190" s="31" t="inlineStr">
        <is>
          <t>Accessory</t>
        </is>
      </c>
      <c r="H190" s="31" t="inlineStr">
        <is>
          <t>-</t>
        </is>
      </c>
      <c r="I190" s="29" t="n">
        <v>3</v>
      </c>
      <c r="J190" s="29" t="inlineStr">
        <is>
          <t>15sec/side</t>
        </is>
      </c>
      <c r="K190" s="29" t="inlineStr"/>
      <c r="L190" s="29" t="inlineStr"/>
      <c r="M190" s="31" t="inlineStr"/>
      <c r="N190" s="36" t="inlineStr"/>
      <c r="O190" s="12" t="inlineStr"/>
      <c r="P190" s="14" t="inlineStr"/>
    </row>
    <row r="191" ht="22" customHeight="1">
      <c r="A191" s="27" t="n">
        <v>9</v>
      </c>
      <c r="B191" s="46" t="inlineStr">
        <is>
          <t>Top of Intensification</t>
        </is>
      </c>
      <c r="C191" s="29" t="n">
        <v>2</v>
      </c>
      <c r="D191" s="30" t="inlineStr">
        <is>
          <t>Tuesday — Bench</t>
        </is>
      </c>
      <c r="E191" s="31" t="n">
        <v>1</v>
      </c>
      <c r="F191" s="32" t="inlineStr">
        <is>
          <t>Bench</t>
        </is>
      </c>
      <c r="G191" s="33" t="inlineStr">
        <is>
          <t>Main Lift</t>
        </is>
      </c>
      <c r="H191" s="31" t="inlineStr">
        <is>
          <t>BENCH</t>
        </is>
      </c>
      <c r="I191" s="27" t="n">
        <v>4</v>
      </c>
      <c r="J191" s="27" t="inlineStr">
        <is>
          <t>2</t>
        </is>
      </c>
      <c r="K191" s="34" t="n">
        <v>0.88</v>
      </c>
      <c r="L191" s="35">
        <f>ROUND('Setup &amp; Dashboard'!$E$8*0.88/5, 0)*5</f>
        <v/>
      </c>
      <c r="M191" s="27" t="inlineStr">
        <is>
          <t>RPE 8-9</t>
        </is>
      </c>
      <c r="N191" s="42" t="inlineStr">
        <is>
          <t>Optional top single @ 90% TM under the same speed condition</t>
        </is>
      </c>
      <c r="O191" s="12" t="inlineStr"/>
      <c r="P191" s="14" t="inlineStr"/>
    </row>
    <row r="192" ht="22" customHeight="1">
      <c r="A192" s="27" t="n">
        <v>9</v>
      </c>
      <c r="B192" s="46" t="inlineStr">
        <is>
          <t>Top of Intensification</t>
        </is>
      </c>
      <c r="C192" s="29" t="n">
        <v>2</v>
      </c>
      <c r="D192" s="30" t="inlineStr">
        <is>
          <t>Tuesday — Bench</t>
        </is>
      </c>
      <c r="E192" s="31" t="n">
        <v>2</v>
      </c>
      <c r="F192" s="30" t="inlineStr">
        <is>
          <t>Close-grip bench</t>
        </is>
      </c>
      <c r="G192" s="31" t="inlineStr">
        <is>
          <t>Accessory</t>
        </is>
      </c>
      <c r="H192" s="31" t="inlineStr">
        <is>
          <t>-</t>
        </is>
      </c>
      <c r="I192" s="29" t="n">
        <v>2</v>
      </c>
      <c r="J192" s="29" t="inlineStr">
        <is>
          <t>4</t>
        </is>
      </c>
      <c r="K192" s="29" t="inlineStr"/>
      <c r="L192" s="29" t="inlineStr"/>
      <c r="M192" s="31" t="inlineStr"/>
      <c r="N192" s="36" t="inlineStr"/>
      <c r="O192" s="12" t="inlineStr"/>
      <c r="P192" s="14" t="inlineStr"/>
    </row>
    <row r="193" ht="22" customHeight="1">
      <c r="A193" s="37" t="n">
        <v>9</v>
      </c>
      <c r="B193" s="46" t="inlineStr">
        <is>
          <t>Top of Intensification</t>
        </is>
      </c>
      <c r="C193" s="38" t="n">
        <v>2</v>
      </c>
      <c r="D193" s="39" t="inlineStr">
        <is>
          <t>Tuesday — Bench</t>
        </is>
      </c>
      <c r="E193" s="40" t="n">
        <v>3</v>
      </c>
      <c r="F193" s="39" t="inlineStr">
        <is>
          <t>Incline DB press</t>
        </is>
      </c>
      <c r="G193" s="40" t="inlineStr">
        <is>
          <t>Accessory</t>
        </is>
      </c>
      <c r="H193" s="40" t="inlineStr">
        <is>
          <t>-</t>
        </is>
      </c>
      <c r="I193" s="38" t="n">
        <v>2</v>
      </c>
      <c r="J193" s="38" t="inlineStr">
        <is>
          <t>8</t>
        </is>
      </c>
      <c r="K193" s="38" t="inlineStr"/>
      <c r="L193" s="29" t="inlineStr"/>
      <c r="M193" s="40" t="inlineStr"/>
      <c r="N193" s="36" t="inlineStr"/>
      <c r="O193" s="12" t="inlineStr"/>
      <c r="P193" s="14" t="inlineStr"/>
    </row>
    <row r="194" ht="22" customHeight="1">
      <c r="A194" s="27" t="n">
        <v>9</v>
      </c>
      <c r="B194" s="46" t="inlineStr">
        <is>
          <t>Top of Intensification</t>
        </is>
      </c>
      <c r="C194" s="29" t="n">
        <v>2</v>
      </c>
      <c r="D194" s="30" t="inlineStr">
        <is>
          <t>Tuesday — Bench</t>
        </is>
      </c>
      <c r="E194" s="31" t="n">
        <v>4</v>
      </c>
      <c r="F194" s="30" t="inlineStr">
        <is>
          <t>Triceps pressdown</t>
        </is>
      </c>
      <c r="G194" s="31" t="inlineStr">
        <is>
          <t>Accessory</t>
        </is>
      </c>
      <c r="H194" s="31" t="inlineStr">
        <is>
          <t>-</t>
        </is>
      </c>
      <c r="I194" s="29" t="n">
        <v>2</v>
      </c>
      <c r="J194" s="29" t="inlineStr">
        <is>
          <t>12</t>
        </is>
      </c>
      <c r="K194" s="29" t="inlineStr"/>
      <c r="L194" s="29" t="inlineStr"/>
      <c r="M194" s="31" t="inlineStr"/>
      <c r="N194" s="36" t="inlineStr"/>
      <c r="O194" s="12" t="inlineStr"/>
      <c r="P194" s="14" t="inlineStr"/>
    </row>
    <row r="195" ht="22" customHeight="1">
      <c r="A195" s="37" t="n">
        <v>9</v>
      </c>
      <c r="B195" s="46" t="inlineStr">
        <is>
          <t>Top of Intensification</t>
        </is>
      </c>
      <c r="C195" s="38" t="n">
        <v>2</v>
      </c>
      <c r="D195" s="39" t="inlineStr">
        <is>
          <t>Tuesday — Bench</t>
        </is>
      </c>
      <c r="E195" s="40" t="n">
        <v>5</v>
      </c>
      <c r="F195" s="39" t="inlineStr">
        <is>
          <t>Face pull</t>
        </is>
      </c>
      <c r="G195" s="40" t="inlineStr">
        <is>
          <t>Accessory</t>
        </is>
      </c>
      <c r="H195" s="40" t="inlineStr">
        <is>
          <t>-</t>
        </is>
      </c>
      <c r="I195" s="38" t="n">
        <v>2</v>
      </c>
      <c r="J195" s="38" t="inlineStr">
        <is>
          <t>15</t>
        </is>
      </c>
      <c r="K195" s="38" t="inlineStr"/>
      <c r="L195" s="29" t="inlineStr"/>
      <c r="M195" s="40" t="inlineStr"/>
      <c r="N195" s="36" t="inlineStr"/>
      <c r="O195" s="12" t="inlineStr"/>
      <c r="P195" s="14" t="inlineStr"/>
    </row>
    <row r="196" ht="22" customHeight="1">
      <c r="A196" s="27" t="n">
        <v>9</v>
      </c>
      <c r="B196" s="46" t="inlineStr">
        <is>
          <t>Top of Intensification</t>
        </is>
      </c>
      <c r="C196" s="29" t="n">
        <v>3</v>
      </c>
      <c r="D196" s="30" t="inlineStr">
        <is>
          <t>Thursday — Deadlift</t>
        </is>
      </c>
      <c r="E196" s="31" t="n">
        <v>1</v>
      </c>
      <c r="F196" s="32" t="inlineStr">
        <is>
          <t>Deadlift</t>
        </is>
      </c>
      <c r="G196" s="33" t="inlineStr">
        <is>
          <t>Main Lift</t>
        </is>
      </c>
      <c r="H196" s="31" t="inlineStr">
        <is>
          <t>DEADLIFT</t>
        </is>
      </c>
      <c r="I196" s="27" t="n">
        <v>2</v>
      </c>
      <c r="J196" s="27" t="inlineStr">
        <is>
          <t>2</t>
        </is>
      </c>
      <c r="K196" s="34" t="n">
        <v>0.88</v>
      </c>
      <c r="L196" s="35">
        <f>ROUND('Setup &amp; Dashboard'!$E$9*0.88/5, 0)*5</f>
        <v/>
      </c>
      <c r="M196" s="27" t="inlineStr">
        <is>
          <t>RPE 8-9</t>
        </is>
      </c>
      <c r="N196" s="42" t="inlineStr">
        <is>
          <t>Optional top single @ 90% TM</t>
        </is>
      </c>
      <c r="O196" s="12" t="inlineStr"/>
      <c r="P196" s="14" t="inlineStr"/>
    </row>
    <row r="197" ht="22" customHeight="1">
      <c r="A197" s="37" t="n">
        <v>9</v>
      </c>
      <c r="B197" s="46" t="inlineStr">
        <is>
          <t>Top of Intensification</t>
        </is>
      </c>
      <c r="C197" s="38" t="n">
        <v>3</v>
      </c>
      <c r="D197" s="39" t="inlineStr">
        <is>
          <t>Thursday — Deadlift</t>
        </is>
      </c>
      <c r="E197" s="40" t="n">
        <v>2</v>
      </c>
      <c r="F197" s="39" t="inlineStr">
        <is>
          <t>Reverse hyper</t>
        </is>
      </c>
      <c r="G197" s="40" t="inlineStr">
        <is>
          <t>Accessory</t>
        </is>
      </c>
      <c r="H197" s="40" t="inlineStr">
        <is>
          <t>-</t>
        </is>
      </c>
      <c r="I197" s="38" t="n">
        <v>1</v>
      </c>
      <c r="J197" s="38" t="inlineStr">
        <is>
          <t>10</t>
        </is>
      </c>
      <c r="K197" s="38" t="inlineStr"/>
      <c r="L197" s="29" t="inlineStr"/>
      <c r="M197" s="40" t="inlineStr"/>
      <c r="N197" s="36" t="inlineStr"/>
      <c r="O197" s="12" t="inlineStr"/>
      <c r="P197" s="14" t="inlineStr"/>
    </row>
    <row r="198" ht="22" customHeight="1">
      <c r="A198" s="27" t="n">
        <v>9</v>
      </c>
      <c r="B198" s="46" t="inlineStr">
        <is>
          <t>Top of Intensification</t>
        </is>
      </c>
      <c r="C198" s="29" t="n">
        <v>3</v>
      </c>
      <c r="D198" s="30" t="inlineStr">
        <is>
          <t>Thursday — Deadlift</t>
        </is>
      </c>
      <c r="E198" s="31" t="n">
        <v>3</v>
      </c>
      <c r="F198" s="30" t="inlineStr">
        <is>
          <t>Jefferson curl</t>
        </is>
      </c>
      <c r="G198" s="31" t="inlineStr">
        <is>
          <t>Accessory</t>
        </is>
      </c>
      <c r="H198" s="31" t="inlineStr">
        <is>
          <t>-</t>
        </is>
      </c>
      <c r="I198" s="29" t="n">
        <v>1</v>
      </c>
      <c r="J198" s="29" t="inlineStr">
        <is>
          <t>6</t>
        </is>
      </c>
      <c r="K198" s="29" t="inlineStr"/>
      <c r="L198" s="29" t="inlineStr"/>
      <c r="M198" s="31" t="inlineStr"/>
      <c r="N198" s="36" t="inlineStr"/>
      <c r="O198" s="12" t="inlineStr"/>
      <c r="P198" s="14" t="inlineStr"/>
    </row>
    <row r="199" ht="22" customHeight="1">
      <c r="A199" s="27" t="n">
        <v>9</v>
      </c>
      <c r="B199" s="46" t="inlineStr">
        <is>
          <t>Top of Intensification</t>
        </is>
      </c>
      <c r="C199" s="29" t="n">
        <v>4</v>
      </c>
      <c r="D199" s="30" t="inlineStr">
        <is>
          <t>Friday — Bench variant / upper body</t>
        </is>
      </c>
      <c r="E199" s="31" t="n">
        <v>1</v>
      </c>
      <c r="F199" s="32" t="inlineStr">
        <is>
          <t>Competition-style bench</t>
        </is>
      </c>
      <c r="G199" s="33" t="inlineStr">
        <is>
          <t>Main Lift</t>
        </is>
      </c>
      <c r="H199" s="31" t="inlineStr">
        <is>
          <t>BENCH</t>
        </is>
      </c>
      <c r="I199" s="27" t="n">
        <v>3</v>
      </c>
      <c r="J199" s="27" t="inlineStr">
        <is>
          <t>2</t>
        </is>
      </c>
      <c r="K199" s="34" t="n">
        <v>0.83</v>
      </c>
      <c r="L199" s="35">
        <f>ROUND('Setup &amp; Dashboard'!$E$8*0.83/5, 0)*5</f>
        <v/>
      </c>
      <c r="M199" s="27" t="inlineStr">
        <is>
          <t>RPE 7-8</t>
        </is>
      </c>
      <c r="N199" s="36" t="inlineStr"/>
      <c r="O199" s="12" t="inlineStr"/>
      <c r="P199" s="14" t="inlineStr"/>
    </row>
    <row r="200" ht="22" customHeight="1">
      <c r="A200" s="27" t="n">
        <v>9</v>
      </c>
      <c r="B200" s="46" t="inlineStr">
        <is>
          <t>Top of Intensification</t>
        </is>
      </c>
      <c r="C200" s="29" t="n">
        <v>4</v>
      </c>
      <c r="D200" s="30" t="inlineStr">
        <is>
          <t>Friday — Bench variant / upper body</t>
        </is>
      </c>
      <c r="E200" s="31" t="n">
        <v>2</v>
      </c>
      <c r="F200" s="30" t="inlineStr">
        <is>
          <t>Chest-supported row</t>
        </is>
      </c>
      <c r="G200" s="31" t="inlineStr">
        <is>
          <t>Accessory</t>
        </is>
      </c>
      <c r="H200" s="31" t="inlineStr">
        <is>
          <t>-</t>
        </is>
      </c>
      <c r="I200" s="29" t="n">
        <v>3</v>
      </c>
      <c r="J200" s="29" t="inlineStr">
        <is>
          <t>8</t>
        </is>
      </c>
      <c r="K200" s="29" t="inlineStr"/>
      <c r="L200" s="29" t="inlineStr"/>
      <c r="M200" s="31" t="inlineStr"/>
      <c r="N200" s="36" t="inlineStr"/>
      <c r="O200" s="12" t="inlineStr"/>
      <c r="P200" s="14" t="inlineStr"/>
    </row>
    <row r="201" ht="22" customHeight="1">
      <c r="A201" s="37" t="n">
        <v>9</v>
      </c>
      <c r="B201" s="46" t="inlineStr">
        <is>
          <t>Top of Intensification</t>
        </is>
      </c>
      <c r="C201" s="38" t="n">
        <v>4</v>
      </c>
      <c r="D201" s="39" t="inlineStr">
        <is>
          <t>Friday — Bench variant / upper body</t>
        </is>
      </c>
      <c r="E201" s="40" t="n">
        <v>3</v>
      </c>
      <c r="F201" s="39" t="inlineStr">
        <is>
          <t>Lat pulldown</t>
        </is>
      </c>
      <c r="G201" s="40" t="inlineStr">
        <is>
          <t>Accessory</t>
        </is>
      </c>
      <c r="H201" s="40" t="inlineStr">
        <is>
          <t>-</t>
        </is>
      </c>
      <c r="I201" s="38" t="n">
        <v>2</v>
      </c>
      <c r="J201" s="38" t="inlineStr">
        <is>
          <t>10</t>
        </is>
      </c>
      <c r="K201" s="38" t="inlineStr"/>
      <c r="L201" s="29" t="inlineStr"/>
      <c r="M201" s="40" t="inlineStr"/>
      <c r="N201" s="36" t="inlineStr"/>
      <c r="O201" s="12" t="inlineStr"/>
      <c r="P201" s="14" t="inlineStr"/>
    </row>
    <row r="202" ht="22" customHeight="1">
      <c r="A202" s="27" t="n">
        <v>9</v>
      </c>
      <c r="B202" s="46" t="inlineStr">
        <is>
          <t>Top of Intensification</t>
        </is>
      </c>
      <c r="C202" s="29" t="n">
        <v>4</v>
      </c>
      <c r="D202" s="30" t="inlineStr">
        <is>
          <t>Friday — Bench variant / upper body</t>
        </is>
      </c>
      <c r="E202" s="31" t="n">
        <v>4</v>
      </c>
      <c r="F202" s="30" t="inlineStr">
        <is>
          <t>Lateral raise</t>
        </is>
      </c>
      <c r="G202" s="31" t="inlineStr">
        <is>
          <t>Accessory</t>
        </is>
      </c>
      <c r="H202" s="31" t="inlineStr">
        <is>
          <t>-</t>
        </is>
      </c>
      <c r="I202" s="29" t="n">
        <v>2</v>
      </c>
      <c r="J202" s="29" t="inlineStr">
        <is>
          <t>15</t>
        </is>
      </c>
      <c r="K202" s="29" t="inlineStr"/>
      <c r="L202" s="29" t="inlineStr"/>
      <c r="M202" s="31" t="inlineStr"/>
      <c r="N202" s="36" t="inlineStr"/>
      <c r="O202" s="12" t="inlineStr"/>
      <c r="P202" s="14" t="inlineStr"/>
    </row>
    <row r="203" ht="22" customHeight="1">
      <c r="A203" s="37" t="n">
        <v>9</v>
      </c>
      <c r="B203" s="46" t="inlineStr">
        <is>
          <t>Top of Intensification</t>
        </is>
      </c>
      <c r="C203" s="38" t="n">
        <v>4</v>
      </c>
      <c r="D203" s="39" t="inlineStr">
        <is>
          <t>Friday — Bench variant / upper body</t>
        </is>
      </c>
      <c r="E203" s="40" t="n">
        <v>5</v>
      </c>
      <c r="F203" s="39" t="inlineStr">
        <is>
          <t>Curl</t>
        </is>
      </c>
      <c r="G203" s="40" t="inlineStr">
        <is>
          <t>Accessory</t>
        </is>
      </c>
      <c r="H203" s="40" t="inlineStr">
        <is>
          <t>-</t>
        </is>
      </c>
      <c r="I203" s="38" t="n">
        <v>2</v>
      </c>
      <c r="J203" s="38" t="inlineStr">
        <is>
          <t>10</t>
        </is>
      </c>
      <c r="K203" s="38" t="inlineStr"/>
      <c r="L203" s="29" t="inlineStr"/>
      <c r="M203" s="40" t="inlineStr"/>
      <c r="N203" s="36" t="inlineStr"/>
      <c r="O203" s="12" t="inlineStr"/>
      <c r="P203" s="14" t="inlineStr"/>
    </row>
    <row r="204" ht="22" customHeight="1">
      <c r="A204" s="27" t="n">
        <v>9</v>
      </c>
      <c r="B204" s="46" t="inlineStr">
        <is>
          <t>Top of Intensification</t>
        </is>
      </c>
      <c r="C204" s="29" t="n">
        <v>4</v>
      </c>
      <c r="D204" s="30" t="inlineStr">
        <is>
          <t>Friday — Bench variant / upper body</t>
        </is>
      </c>
      <c r="E204" s="31" t="n">
        <v>6</v>
      </c>
      <c r="F204" s="30" t="inlineStr">
        <is>
          <t>Pallof press</t>
        </is>
      </c>
      <c r="G204" s="31" t="inlineStr">
        <is>
          <t>Accessory</t>
        </is>
      </c>
      <c r="H204" s="31" t="inlineStr">
        <is>
          <t>-</t>
        </is>
      </c>
      <c r="I204" s="29" t="n">
        <v>2</v>
      </c>
      <c r="J204" s="29" t="inlineStr">
        <is>
          <t>10/side</t>
        </is>
      </c>
      <c r="K204" s="29" t="inlineStr"/>
      <c r="L204" s="29" t="inlineStr"/>
      <c r="M204" s="31" t="inlineStr"/>
      <c r="N204" s="36" t="inlineStr"/>
      <c r="O204" s="12" t="inlineStr"/>
      <c r="P204" s="14" t="inlineStr"/>
    </row>
    <row r="205" ht="22" customHeight="1">
      <c r="A205" s="27" t="n">
        <v>9</v>
      </c>
      <c r="B205" s="46" t="inlineStr">
        <is>
          <t>Top of Intensification</t>
        </is>
      </c>
      <c r="C205" s="29" t="n">
        <v>5</v>
      </c>
      <c r="D205" s="30" t="inlineStr">
        <is>
          <t>Saturday — Squat variant + Rack Pull</t>
        </is>
      </c>
      <c r="E205" s="31" t="n">
        <v>1</v>
      </c>
      <c r="F205" s="32" t="inlineStr">
        <is>
          <t>Paused squat</t>
        </is>
      </c>
      <c r="G205" s="33" t="inlineStr">
        <is>
          <t>Main Lift</t>
        </is>
      </c>
      <c r="H205" s="31" t="inlineStr">
        <is>
          <t>SQUAT</t>
        </is>
      </c>
      <c r="I205" s="27" t="n">
        <v>2</v>
      </c>
      <c r="J205" s="27" t="inlineStr">
        <is>
          <t>2</t>
        </is>
      </c>
      <c r="K205" s="34" t="n">
        <v>0.78</v>
      </c>
      <c r="L205" s="35">
        <f>ROUND('Setup &amp; Dashboard'!$E$7*0.78/5, 0)*5</f>
        <v/>
      </c>
      <c r="M205" s="27" t="inlineStr">
        <is>
          <t>RPE 7-8</t>
        </is>
      </c>
      <c r="N205" s="36" t="inlineStr"/>
      <c r="O205" s="12" t="inlineStr"/>
      <c r="P205" s="14" t="inlineStr"/>
    </row>
    <row r="206" ht="22" customHeight="1">
      <c r="A206" s="27" t="n">
        <v>9</v>
      </c>
      <c r="B206" s="46" t="inlineStr">
        <is>
          <t>Top of Intensification</t>
        </is>
      </c>
      <c r="C206" s="29" t="n">
        <v>5</v>
      </c>
      <c r="D206" s="30" t="inlineStr">
        <is>
          <t>Saturday — Squat variant + Rack Pull</t>
        </is>
      </c>
      <c r="E206" s="31" t="n">
        <v>2</v>
      </c>
      <c r="F206" s="32" t="inlineStr">
        <is>
          <t>Rack pull</t>
        </is>
      </c>
      <c r="G206" s="33" t="inlineStr">
        <is>
          <t>Main Lift</t>
        </is>
      </c>
      <c r="H206" s="31" t="inlineStr">
        <is>
          <t>RACKPULL</t>
        </is>
      </c>
      <c r="I206" s="27" t="n">
        <v>2</v>
      </c>
      <c r="J206" s="27" t="inlineStr">
        <is>
          <t>2</t>
        </is>
      </c>
      <c r="K206" s="34" t="n">
        <v>0.86</v>
      </c>
      <c r="L206" s="35">
        <f>ROUND('Setup &amp; Dashboard'!$E$10*0.86/5, 0)*5</f>
        <v/>
      </c>
      <c r="M206" s="27" t="inlineStr">
        <is>
          <t>RPE 8-9</t>
        </is>
      </c>
      <c r="N206" s="42" t="inlineStr">
        <is>
          <t>Optional top single @ 88% TM</t>
        </is>
      </c>
      <c r="O206" s="12" t="inlineStr"/>
      <c r="P206" s="14" t="inlineStr"/>
    </row>
    <row r="207" ht="22" customHeight="1">
      <c r="A207" s="37" t="n">
        <v>9</v>
      </c>
      <c r="B207" s="46" t="inlineStr">
        <is>
          <t>Top of Intensification</t>
        </is>
      </c>
      <c r="C207" s="38" t="n">
        <v>5</v>
      </c>
      <c r="D207" s="39" t="inlineStr">
        <is>
          <t>Saturday — Squat variant + Rack Pull</t>
        </is>
      </c>
      <c r="E207" s="40" t="n">
        <v>3</v>
      </c>
      <c r="F207" s="39" t="inlineStr">
        <is>
          <t>Reverse hyper</t>
        </is>
      </c>
      <c r="G207" s="40" t="inlineStr">
        <is>
          <t>Accessory</t>
        </is>
      </c>
      <c r="H207" s="40" t="inlineStr">
        <is>
          <t>-</t>
        </is>
      </c>
      <c r="I207" s="38" t="n">
        <v>1</v>
      </c>
      <c r="J207" s="38" t="inlineStr">
        <is>
          <t>10</t>
        </is>
      </c>
      <c r="K207" s="38" t="inlineStr"/>
      <c r="L207" s="29" t="inlineStr"/>
      <c r="M207" s="40" t="inlineStr"/>
      <c r="N207" s="36" t="inlineStr"/>
      <c r="O207" s="12" t="inlineStr"/>
      <c r="P207" s="14" t="inlineStr"/>
    </row>
    <row r="208" ht="22" customHeight="1">
      <c r="A208" s="27" t="n">
        <v>9</v>
      </c>
      <c r="B208" s="46" t="inlineStr">
        <is>
          <t>Top of Intensification</t>
        </is>
      </c>
      <c r="C208" s="29" t="n">
        <v>5</v>
      </c>
      <c r="D208" s="30" t="inlineStr">
        <is>
          <t>Saturday — Squat variant + Rack Pull</t>
        </is>
      </c>
      <c r="E208" s="31" t="n">
        <v>4</v>
      </c>
      <c r="F208" s="30" t="inlineStr">
        <is>
          <t>GHR or Nordic curl</t>
        </is>
      </c>
      <c r="G208" s="31" t="inlineStr">
        <is>
          <t>Accessory</t>
        </is>
      </c>
      <c r="H208" s="31" t="inlineStr">
        <is>
          <t>-</t>
        </is>
      </c>
      <c r="I208" s="29" t="n">
        <v>2</v>
      </c>
      <c r="J208" s="29" t="inlineStr">
        <is>
          <t>8</t>
        </is>
      </c>
      <c r="K208" s="29" t="inlineStr"/>
      <c r="L208" s="29" t="inlineStr"/>
      <c r="M208" s="31" t="inlineStr"/>
      <c r="N208" s="36" t="inlineStr"/>
      <c r="O208" s="12" t="inlineStr"/>
      <c r="P208" s="14" t="inlineStr"/>
    </row>
    <row r="209" ht="22" customHeight="1">
      <c r="A209" s="27" t="n">
        <v>10</v>
      </c>
      <c r="B209" s="45" t="inlineStr">
        <is>
          <t>Deload</t>
        </is>
      </c>
      <c r="C209" s="29" t="n">
        <v>1</v>
      </c>
      <c r="D209" s="30" t="inlineStr">
        <is>
          <t>Monday — Squat</t>
        </is>
      </c>
      <c r="E209" s="31" t="n">
        <v>1</v>
      </c>
      <c r="F209" s="32" t="inlineStr">
        <is>
          <t>Squat</t>
        </is>
      </c>
      <c r="G209" s="33" t="inlineStr">
        <is>
          <t>Main Lift</t>
        </is>
      </c>
      <c r="H209" s="31" t="inlineStr">
        <is>
          <t>SQUAT</t>
        </is>
      </c>
      <c r="I209" s="27" t="n">
        <v>3</v>
      </c>
      <c r="J209" s="27" t="inlineStr">
        <is>
          <t>2</t>
        </is>
      </c>
      <c r="K209" s="34" t="n">
        <v>0.65</v>
      </c>
      <c r="L209" s="35">
        <f>ROUND('Setup &amp; Dashboard'!$E$7*0.65/5, 0)*5</f>
        <v/>
      </c>
      <c r="M209" s="27" t="inlineStr">
        <is>
          <t>RPE 6</t>
        </is>
      </c>
      <c r="N209" s="36" t="inlineStr"/>
      <c r="O209" s="12" t="inlineStr"/>
      <c r="P209" s="14" t="inlineStr"/>
    </row>
    <row r="210" ht="22" customHeight="1">
      <c r="A210" s="27" t="n">
        <v>10</v>
      </c>
      <c r="B210" s="45" t="inlineStr">
        <is>
          <t>Deload</t>
        </is>
      </c>
      <c r="C210" s="29" t="n">
        <v>1</v>
      </c>
      <c r="D210" s="30" t="inlineStr">
        <is>
          <t>Monday — Squat</t>
        </is>
      </c>
      <c r="E210" s="31" t="n">
        <v>2</v>
      </c>
      <c r="F210" s="30" t="inlineStr">
        <is>
          <t>Split squat</t>
        </is>
      </c>
      <c r="G210" s="31" t="inlineStr">
        <is>
          <t>Accessory</t>
        </is>
      </c>
      <c r="H210" s="31" t="inlineStr">
        <is>
          <t>-</t>
        </is>
      </c>
      <c r="I210" s="29" t="n">
        <v>2</v>
      </c>
      <c r="J210" s="29" t="inlineStr">
        <is>
          <t>6-8/leg</t>
        </is>
      </c>
      <c r="K210" s="29" t="inlineStr"/>
      <c r="L210" s="29" t="inlineStr"/>
      <c r="M210" s="31" t="inlineStr"/>
      <c r="N210" s="36" t="inlineStr"/>
      <c r="O210" s="12" t="inlineStr"/>
      <c r="P210" s="14" t="inlineStr"/>
    </row>
    <row r="211" ht="22" customHeight="1">
      <c r="A211" s="37" t="n">
        <v>10</v>
      </c>
      <c r="B211" s="45" t="inlineStr">
        <is>
          <t>Deload</t>
        </is>
      </c>
      <c r="C211" s="38" t="n">
        <v>1</v>
      </c>
      <c r="D211" s="39" t="inlineStr">
        <is>
          <t>Monday — Squat</t>
        </is>
      </c>
      <c r="E211" s="40" t="n">
        <v>3</v>
      </c>
      <c r="F211" s="39" t="inlineStr">
        <is>
          <t>Leg curl</t>
        </is>
      </c>
      <c r="G211" s="40" t="inlineStr">
        <is>
          <t>Accessory</t>
        </is>
      </c>
      <c r="H211" s="40" t="inlineStr">
        <is>
          <t>-</t>
        </is>
      </c>
      <c r="I211" s="38" t="n">
        <v>2</v>
      </c>
      <c r="J211" s="38" t="inlineStr">
        <is>
          <t>8</t>
        </is>
      </c>
      <c r="K211" s="38" t="inlineStr"/>
      <c r="L211" s="29" t="inlineStr"/>
      <c r="M211" s="40" t="inlineStr"/>
      <c r="N211" s="36" t="inlineStr"/>
      <c r="O211" s="12" t="inlineStr"/>
      <c r="P211" s="14" t="inlineStr"/>
    </row>
    <row r="212" ht="22" customHeight="1">
      <c r="A212" s="27" t="n">
        <v>10</v>
      </c>
      <c r="B212" s="45" t="inlineStr">
        <is>
          <t>Deload</t>
        </is>
      </c>
      <c r="C212" s="29" t="n">
        <v>1</v>
      </c>
      <c r="D212" s="30" t="inlineStr">
        <is>
          <t>Monday — Squat</t>
        </is>
      </c>
      <c r="E212" s="31" t="n">
        <v>4</v>
      </c>
      <c r="F212" s="30" t="inlineStr">
        <is>
          <t>Copenhagen plank</t>
        </is>
      </c>
      <c r="G212" s="31" t="inlineStr">
        <is>
          <t>Accessory</t>
        </is>
      </c>
      <c r="H212" s="31" t="inlineStr">
        <is>
          <t>-</t>
        </is>
      </c>
      <c r="I212" s="29" t="n">
        <v>2</v>
      </c>
      <c r="J212" s="29" t="inlineStr">
        <is>
          <t>15sec/side</t>
        </is>
      </c>
      <c r="K212" s="29" t="inlineStr"/>
      <c r="L212" s="29" t="inlineStr"/>
      <c r="M212" s="31" t="inlineStr"/>
      <c r="N212" s="36" t="inlineStr"/>
      <c r="O212" s="12" t="inlineStr"/>
      <c r="P212" s="14" t="inlineStr"/>
    </row>
    <row r="213" ht="22" customHeight="1">
      <c r="A213" s="27" t="n">
        <v>10</v>
      </c>
      <c r="B213" s="45" t="inlineStr">
        <is>
          <t>Deload</t>
        </is>
      </c>
      <c r="C213" s="29" t="n">
        <v>2</v>
      </c>
      <c r="D213" s="30" t="inlineStr">
        <is>
          <t>Tuesday — Bench</t>
        </is>
      </c>
      <c r="E213" s="31" t="n">
        <v>1</v>
      </c>
      <c r="F213" s="32" t="inlineStr">
        <is>
          <t>Bench</t>
        </is>
      </c>
      <c r="G213" s="33" t="inlineStr">
        <is>
          <t>Main Lift</t>
        </is>
      </c>
      <c r="H213" s="31" t="inlineStr">
        <is>
          <t>BENCH</t>
        </is>
      </c>
      <c r="I213" s="27" t="n">
        <v>3</v>
      </c>
      <c r="J213" s="27" t="inlineStr">
        <is>
          <t>2</t>
        </is>
      </c>
      <c r="K213" s="34" t="n">
        <v>0.65</v>
      </c>
      <c r="L213" s="35">
        <f>ROUND('Setup &amp; Dashboard'!$E$8*0.65/5, 0)*5</f>
        <v/>
      </c>
      <c r="M213" s="27" t="inlineStr">
        <is>
          <t>RPE 6</t>
        </is>
      </c>
      <c r="N213" s="36" t="inlineStr"/>
      <c r="O213" s="12" t="inlineStr"/>
      <c r="P213" s="14" t="inlineStr"/>
    </row>
    <row r="214" ht="22" customHeight="1">
      <c r="A214" s="27" t="n">
        <v>10</v>
      </c>
      <c r="B214" s="45" t="inlineStr">
        <is>
          <t>Deload</t>
        </is>
      </c>
      <c r="C214" s="29" t="n">
        <v>2</v>
      </c>
      <c r="D214" s="30" t="inlineStr">
        <is>
          <t>Tuesday — Bench</t>
        </is>
      </c>
      <c r="E214" s="31" t="n">
        <v>2</v>
      </c>
      <c r="F214" s="30" t="inlineStr">
        <is>
          <t>Close-grip bench</t>
        </is>
      </c>
      <c r="G214" s="31" t="inlineStr">
        <is>
          <t>Accessory</t>
        </is>
      </c>
      <c r="H214" s="31" t="inlineStr">
        <is>
          <t>-</t>
        </is>
      </c>
      <c r="I214" s="29" t="n">
        <v>2</v>
      </c>
      <c r="J214" s="29" t="inlineStr">
        <is>
          <t>5</t>
        </is>
      </c>
      <c r="K214" s="29" t="inlineStr"/>
      <c r="L214" s="29" t="inlineStr"/>
      <c r="M214" s="31" t="inlineStr"/>
      <c r="N214" s="36" t="inlineStr"/>
      <c r="O214" s="12" t="inlineStr"/>
      <c r="P214" s="14" t="inlineStr"/>
    </row>
    <row r="215" ht="22" customHeight="1">
      <c r="A215" s="37" t="n">
        <v>10</v>
      </c>
      <c r="B215" s="45" t="inlineStr">
        <is>
          <t>Deload</t>
        </is>
      </c>
      <c r="C215" s="38" t="n">
        <v>2</v>
      </c>
      <c r="D215" s="39" t="inlineStr">
        <is>
          <t>Tuesday — Bench</t>
        </is>
      </c>
      <c r="E215" s="40" t="n">
        <v>3</v>
      </c>
      <c r="F215" s="39" t="inlineStr">
        <is>
          <t>Incline DB press</t>
        </is>
      </c>
      <c r="G215" s="40" t="inlineStr">
        <is>
          <t>Accessory</t>
        </is>
      </c>
      <c r="H215" s="40" t="inlineStr">
        <is>
          <t>-</t>
        </is>
      </c>
      <c r="I215" s="38" t="n">
        <v>2</v>
      </c>
      <c r="J215" s="38" t="inlineStr">
        <is>
          <t>8</t>
        </is>
      </c>
      <c r="K215" s="38" t="inlineStr"/>
      <c r="L215" s="29" t="inlineStr"/>
      <c r="M215" s="40" t="inlineStr"/>
      <c r="N215" s="36" t="inlineStr"/>
      <c r="O215" s="12" t="inlineStr"/>
      <c r="P215" s="14" t="inlineStr"/>
    </row>
    <row r="216" ht="22" customHeight="1">
      <c r="A216" s="27" t="n">
        <v>10</v>
      </c>
      <c r="B216" s="45" t="inlineStr">
        <is>
          <t>Deload</t>
        </is>
      </c>
      <c r="C216" s="29" t="n">
        <v>2</v>
      </c>
      <c r="D216" s="30" t="inlineStr">
        <is>
          <t>Tuesday — Bench</t>
        </is>
      </c>
      <c r="E216" s="31" t="n">
        <v>4</v>
      </c>
      <c r="F216" s="30" t="inlineStr">
        <is>
          <t>Face pull</t>
        </is>
      </c>
      <c r="G216" s="31" t="inlineStr">
        <is>
          <t>Accessory</t>
        </is>
      </c>
      <c r="H216" s="31" t="inlineStr">
        <is>
          <t>-</t>
        </is>
      </c>
      <c r="I216" s="29" t="n">
        <v>2</v>
      </c>
      <c r="J216" s="29" t="inlineStr">
        <is>
          <t>15</t>
        </is>
      </c>
      <c r="K216" s="29" t="inlineStr"/>
      <c r="L216" s="29" t="inlineStr"/>
      <c r="M216" s="31" t="inlineStr"/>
      <c r="N216" s="36" t="inlineStr"/>
      <c r="O216" s="12" t="inlineStr"/>
      <c r="P216" s="14" t="inlineStr"/>
    </row>
    <row r="217" ht="22" customHeight="1">
      <c r="A217" s="37" t="n">
        <v>10</v>
      </c>
      <c r="B217" s="45" t="inlineStr">
        <is>
          <t>Deload</t>
        </is>
      </c>
      <c r="C217" s="38" t="n">
        <v>2</v>
      </c>
      <c r="D217" s="39" t="inlineStr">
        <is>
          <t>Tuesday — Bench</t>
        </is>
      </c>
      <c r="E217" s="40" t="n">
        <v>5</v>
      </c>
      <c r="F217" s="39" t="inlineStr">
        <is>
          <t>Pallof press</t>
        </is>
      </c>
      <c r="G217" s="40" t="inlineStr">
        <is>
          <t>Accessory</t>
        </is>
      </c>
      <c r="H217" s="40" t="inlineStr">
        <is>
          <t>-</t>
        </is>
      </c>
      <c r="I217" s="38" t="n">
        <v>2</v>
      </c>
      <c r="J217" s="38" t="inlineStr">
        <is>
          <t>8/side</t>
        </is>
      </c>
      <c r="K217" s="38" t="inlineStr"/>
      <c r="L217" s="29" t="inlineStr"/>
      <c r="M217" s="40" t="inlineStr"/>
      <c r="N217" s="36" t="inlineStr"/>
      <c r="O217" s="12" t="inlineStr"/>
      <c r="P217" s="14" t="inlineStr"/>
    </row>
    <row r="218" ht="22" customHeight="1">
      <c r="A218" s="27" t="n">
        <v>10</v>
      </c>
      <c r="B218" s="45" t="inlineStr">
        <is>
          <t>Deload</t>
        </is>
      </c>
      <c r="C218" s="29" t="n">
        <v>3</v>
      </c>
      <c r="D218" s="30" t="inlineStr">
        <is>
          <t>Thursday — Deadlift</t>
        </is>
      </c>
      <c r="E218" s="31" t="n">
        <v>1</v>
      </c>
      <c r="F218" s="32" t="inlineStr">
        <is>
          <t>Deadlift</t>
        </is>
      </c>
      <c r="G218" s="33" t="inlineStr">
        <is>
          <t>Main Lift</t>
        </is>
      </c>
      <c r="H218" s="31" t="inlineStr">
        <is>
          <t>DEADLIFT</t>
        </is>
      </c>
      <c r="I218" s="27" t="n">
        <v>2</v>
      </c>
      <c r="J218" s="27" t="inlineStr">
        <is>
          <t>2</t>
        </is>
      </c>
      <c r="K218" s="34" t="n">
        <v>0.6</v>
      </c>
      <c r="L218" s="35">
        <f>ROUND('Setup &amp; Dashboard'!$E$9*0.6/5, 0)*5</f>
        <v/>
      </c>
      <c r="M218" s="27" t="inlineStr">
        <is>
          <t>RPE 6</t>
        </is>
      </c>
      <c r="N218" s="36" t="inlineStr"/>
      <c r="O218" s="12" t="inlineStr"/>
      <c r="P218" s="14" t="inlineStr"/>
    </row>
    <row r="219" ht="22" customHeight="1">
      <c r="A219" s="37" t="n">
        <v>10</v>
      </c>
      <c r="B219" s="45" t="inlineStr">
        <is>
          <t>Deload</t>
        </is>
      </c>
      <c r="C219" s="38" t="n">
        <v>3</v>
      </c>
      <c r="D219" s="39" t="inlineStr">
        <is>
          <t>Thursday — Deadlift</t>
        </is>
      </c>
      <c r="E219" s="40" t="n">
        <v>2</v>
      </c>
      <c r="F219" s="39" t="inlineStr">
        <is>
          <t>Reverse hyper</t>
        </is>
      </c>
      <c r="G219" s="40" t="inlineStr">
        <is>
          <t>Accessory</t>
        </is>
      </c>
      <c r="H219" s="40" t="inlineStr">
        <is>
          <t>-</t>
        </is>
      </c>
      <c r="I219" s="38" t="n">
        <v>2</v>
      </c>
      <c r="J219" s="38" t="inlineStr">
        <is>
          <t>10</t>
        </is>
      </c>
      <c r="K219" s="38" t="inlineStr"/>
      <c r="L219" s="29" t="inlineStr"/>
      <c r="M219" s="40" t="inlineStr"/>
      <c r="N219" s="36" t="inlineStr"/>
      <c r="O219" s="12" t="inlineStr"/>
      <c r="P219" s="14" t="inlineStr"/>
    </row>
    <row r="220" ht="22" customHeight="1">
      <c r="A220" s="27" t="n">
        <v>10</v>
      </c>
      <c r="B220" s="45" t="inlineStr">
        <is>
          <t>Deload</t>
        </is>
      </c>
      <c r="C220" s="29" t="n">
        <v>3</v>
      </c>
      <c r="D220" s="30" t="inlineStr">
        <is>
          <t>Thursday — Deadlift</t>
        </is>
      </c>
      <c r="E220" s="31" t="n">
        <v>3</v>
      </c>
      <c r="F220" s="30" t="inlineStr">
        <is>
          <t>Jefferson curl</t>
        </is>
      </c>
      <c r="G220" s="31" t="inlineStr">
        <is>
          <t>Accessory</t>
        </is>
      </c>
      <c r="H220" s="31" t="inlineStr">
        <is>
          <t>-</t>
        </is>
      </c>
      <c r="I220" s="29" t="n">
        <v>1</v>
      </c>
      <c r="J220" s="29" t="inlineStr">
        <is>
          <t>6</t>
        </is>
      </c>
      <c r="K220" s="29" t="inlineStr"/>
      <c r="L220" s="29" t="inlineStr"/>
      <c r="M220" s="31" t="inlineStr"/>
      <c r="N220" s="36" t="inlineStr"/>
      <c r="O220" s="12" t="inlineStr"/>
      <c r="P220" s="14" t="inlineStr"/>
    </row>
    <row r="221" ht="22" customHeight="1">
      <c r="A221" s="27" t="n">
        <v>10</v>
      </c>
      <c r="B221" s="45" t="inlineStr">
        <is>
          <t>Deload</t>
        </is>
      </c>
      <c r="C221" s="29" t="n">
        <v>4</v>
      </c>
      <c r="D221" s="30" t="inlineStr">
        <is>
          <t>Friday — Bench variant / upper body</t>
        </is>
      </c>
      <c r="E221" s="31" t="n">
        <v>1</v>
      </c>
      <c r="F221" s="32" t="inlineStr">
        <is>
          <t>Light paused bench</t>
        </is>
      </c>
      <c r="G221" s="33" t="inlineStr">
        <is>
          <t>Main Lift</t>
        </is>
      </c>
      <c r="H221" s="31" t="inlineStr">
        <is>
          <t>BENCH</t>
        </is>
      </c>
      <c r="I221" s="27" t="n">
        <v>3</v>
      </c>
      <c r="J221" s="27" t="inlineStr">
        <is>
          <t>2</t>
        </is>
      </c>
      <c r="K221" s="34" t="n">
        <v>0.6</v>
      </c>
      <c r="L221" s="35">
        <f>ROUND('Setup &amp; Dashboard'!$E$8*0.6/5, 0)*5</f>
        <v/>
      </c>
      <c r="M221" s="27" t="inlineStr">
        <is>
          <t>RPE 6</t>
        </is>
      </c>
      <c r="N221" s="36" t="inlineStr"/>
      <c r="O221" s="12" t="inlineStr"/>
      <c r="P221" s="14" t="inlineStr"/>
    </row>
    <row r="222" ht="22" customHeight="1">
      <c r="A222" s="27" t="n">
        <v>10</v>
      </c>
      <c r="B222" s="45" t="inlineStr">
        <is>
          <t>Deload</t>
        </is>
      </c>
      <c r="C222" s="29" t="n">
        <v>4</v>
      </c>
      <c r="D222" s="30" t="inlineStr">
        <is>
          <t>Friday — Bench variant / upper body</t>
        </is>
      </c>
      <c r="E222" s="31" t="n">
        <v>2</v>
      </c>
      <c r="F222" s="30" t="inlineStr">
        <is>
          <t>Chest-supported row</t>
        </is>
      </c>
      <c r="G222" s="31" t="inlineStr">
        <is>
          <t>Accessory</t>
        </is>
      </c>
      <c r="H222" s="31" t="inlineStr">
        <is>
          <t>-</t>
        </is>
      </c>
      <c r="I222" s="29" t="n">
        <v>2</v>
      </c>
      <c r="J222" s="29" t="inlineStr">
        <is>
          <t>8-10</t>
        </is>
      </c>
      <c r="K222" s="29" t="inlineStr"/>
      <c r="L222" s="29" t="inlineStr"/>
      <c r="M222" s="31" t="inlineStr"/>
      <c r="N222" s="36" t="inlineStr"/>
      <c r="O222" s="12" t="inlineStr"/>
      <c r="P222" s="14" t="inlineStr"/>
    </row>
    <row r="223" ht="22" customHeight="1">
      <c r="A223" s="37" t="n">
        <v>10</v>
      </c>
      <c r="B223" s="45" t="inlineStr">
        <is>
          <t>Deload</t>
        </is>
      </c>
      <c r="C223" s="38" t="n">
        <v>4</v>
      </c>
      <c r="D223" s="39" t="inlineStr">
        <is>
          <t>Friday — Bench variant / upper body</t>
        </is>
      </c>
      <c r="E223" s="40" t="n">
        <v>3</v>
      </c>
      <c r="F223" s="39" t="inlineStr">
        <is>
          <t>Lat pulldown</t>
        </is>
      </c>
      <c r="G223" s="40" t="inlineStr">
        <is>
          <t>Accessory</t>
        </is>
      </c>
      <c r="H223" s="40" t="inlineStr">
        <is>
          <t>-</t>
        </is>
      </c>
      <c r="I223" s="38" t="n">
        <v>2</v>
      </c>
      <c r="J223" s="38" t="inlineStr">
        <is>
          <t>10</t>
        </is>
      </c>
      <c r="K223" s="38" t="inlineStr"/>
      <c r="L223" s="29" t="inlineStr"/>
      <c r="M223" s="40" t="inlineStr"/>
      <c r="N223" s="36" t="inlineStr"/>
      <c r="O223" s="12" t="inlineStr"/>
      <c r="P223" s="14" t="inlineStr"/>
    </row>
    <row r="224" ht="22" customHeight="1">
      <c r="A224" s="27" t="n">
        <v>10</v>
      </c>
      <c r="B224" s="45" t="inlineStr">
        <is>
          <t>Deload</t>
        </is>
      </c>
      <c r="C224" s="29" t="n">
        <v>4</v>
      </c>
      <c r="D224" s="30" t="inlineStr">
        <is>
          <t>Friday — Bench variant / upper body</t>
        </is>
      </c>
      <c r="E224" s="31" t="n">
        <v>4</v>
      </c>
      <c r="F224" s="30" t="inlineStr">
        <is>
          <t>Lateral raise</t>
        </is>
      </c>
      <c r="G224" s="31" t="inlineStr">
        <is>
          <t>Accessory</t>
        </is>
      </c>
      <c r="H224" s="31" t="inlineStr">
        <is>
          <t>-</t>
        </is>
      </c>
      <c r="I224" s="29" t="n">
        <v>2</v>
      </c>
      <c r="J224" s="29" t="inlineStr">
        <is>
          <t>12-15</t>
        </is>
      </c>
      <c r="K224" s="29" t="inlineStr"/>
      <c r="L224" s="29" t="inlineStr"/>
      <c r="M224" s="31" t="inlineStr"/>
      <c r="N224" s="36" t="inlineStr"/>
      <c r="O224" s="12" t="inlineStr"/>
      <c r="P224" s="14" t="inlineStr"/>
    </row>
    <row r="225" ht="22" customHeight="1">
      <c r="A225" s="37" t="n">
        <v>10</v>
      </c>
      <c r="B225" s="45" t="inlineStr">
        <is>
          <t>Deload</t>
        </is>
      </c>
      <c r="C225" s="38" t="n">
        <v>4</v>
      </c>
      <c r="D225" s="39" t="inlineStr">
        <is>
          <t>Friday — Bench variant / upper body</t>
        </is>
      </c>
      <c r="E225" s="40" t="n">
        <v>5</v>
      </c>
      <c r="F225" s="39" t="inlineStr">
        <is>
          <t>Curl</t>
        </is>
      </c>
      <c r="G225" s="40" t="inlineStr">
        <is>
          <t>Accessory</t>
        </is>
      </c>
      <c r="H225" s="40" t="inlineStr">
        <is>
          <t>-</t>
        </is>
      </c>
      <c r="I225" s="38" t="n">
        <v>2</v>
      </c>
      <c r="J225" s="38" t="inlineStr">
        <is>
          <t>10</t>
        </is>
      </c>
      <c r="K225" s="38" t="inlineStr"/>
      <c r="L225" s="29" t="inlineStr"/>
      <c r="M225" s="40" t="inlineStr"/>
      <c r="N225" s="36" t="inlineStr"/>
      <c r="O225" s="12" t="inlineStr"/>
      <c r="P225" s="14" t="inlineStr"/>
    </row>
    <row r="226" ht="22" customHeight="1">
      <c r="A226" s="27" t="n">
        <v>10</v>
      </c>
      <c r="B226" s="45" t="inlineStr">
        <is>
          <t>Deload</t>
        </is>
      </c>
      <c r="C226" s="29" t="n">
        <v>5</v>
      </c>
      <c r="D226" s="30" t="inlineStr">
        <is>
          <t>Saturday — Squat variant + Rack Pull</t>
        </is>
      </c>
      <c r="E226" s="31" t="n">
        <v>1</v>
      </c>
      <c r="F226" s="32" t="inlineStr">
        <is>
          <t>Light squat technique</t>
        </is>
      </c>
      <c r="G226" s="33" t="inlineStr">
        <is>
          <t>Main Lift</t>
        </is>
      </c>
      <c r="H226" s="31" t="inlineStr">
        <is>
          <t>SQUAT</t>
        </is>
      </c>
      <c r="I226" s="27" t="n">
        <v>2</v>
      </c>
      <c r="J226" s="27" t="inlineStr">
        <is>
          <t>2</t>
        </is>
      </c>
      <c r="K226" s="34" t="n">
        <v>0.6</v>
      </c>
      <c r="L226" s="35">
        <f>ROUND('Setup &amp; Dashboard'!$E$7*0.6/5, 0)*5</f>
        <v/>
      </c>
      <c r="M226" s="31" t="inlineStr"/>
      <c r="N226" s="36" t="inlineStr"/>
      <c r="O226" s="12" t="inlineStr"/>
      <c r="P226" s="14" t="inlineStr"/>
    </row>
    <row r="227" ht="22" customHeight="1">
      <c r="A227" s="27" t="n">
        <v>10</v>
      </c>
      <c r="B227" s="45" t="inlineStr">
        <is>
          <t>Deload</t>
        </is>
      </c>
      <c r="C227" s="29" t="n">
        <v>5</v>
      </c>
      <c r="D227" s="30" t="inlineStr">
        <is>
          <t>Saturday — Squat variant + Rack Pull</t>
        </is>
      </c>
      <c r="E227" s="31" t="n">
        <v>2</v>
      </c>
      <c r="F227" s="32" t="inlineStr">
        <is>
          <t>Rack pull</t>
        </is>
      </c>
      <c r="G227" s="33" t="inlineStr">
        <is>
          <t>Main Lift</t>
        </is>
      </c>
      <c r="H227" s="31" t="inlineStr">
        <is>
          <t>RACKPULL</t>
        </is>
      </c>
      <c r="I227" s="27" t="n">
        <v>2</v>
      </c>
      <c r="J227" s="27" t="inlineStr">
        <is>
          <t>2</t>
        </is>
      </c>
      <c r="K227" s="34" t="n">
        <v>0.6</v>
      </c>
      <c r="L227" s="35">
        <f>ROUND('Setup &amp; Dashboard'!$E$10*0.6/5, 0)*5</f>
        <v/>
      </c>
      <c r="M227" s="31" t="inlineStr"/>
      <c r="N227" s="42" t="inlineStr">
        <is>
          <t>easy</t>
        </is>
      </c>
      <c r="O227" s="12" t="inlineStr"/>
      <c r="P227" s="14" t="inlineStr"/>
    </row>
    <row r="228" ht="22" customHeight="1">
      <c r="A228" s="27" t="n">
        <v>10</v>
      </c>
      <c r="B228" s="45" t="inlineStr">
        <is>
          <t>Deload</t>
        </is>
      </c>
      <c r="C228" s="29" t="n">
        <v>5</v>
      </c>
      <c r="D228" s="30" t="inlineStr">
        <is>
          <t>Saturday — Squat variant + Rack Pull</t>
        </is>
      </c>
      <c r="E228" s="31" t="n">
        <v>3</v>
      </c>
      <c r="F228" s="30" t="inlineStr">
        <is>
          <t>Reverse hyper</t>
        </is>
      </c>
      <c r="G228" s="31" t="inlineStr">
        <is>
          <t>Accessory</t>
        </is>
      </c>
      <c r="H228" s="31" t="inlineStr">
        <is>
          <t>-</t>
        </is>
      </c>
      <c r="I228" s="29" t="n">
        <v>1</v>
      </c>
      <c r="J228" s="29" t="inlineStr">
        <is>
          <t>10</t>
        </is>
      </c>
      <c r="K228" s="29" t="inlineStr"/>
      <c r="L228" s="29" t="inlineStr"/>
      <c r="M228" s="31" t="inlineStr"/>
      <c r="N228" s="36" t="inlineStr"/>
      <c r="O228" s="12" t="inlineStr"/>
      <c r="P228" s="14" t="inlineStr"/>
    </row>
    <row r="229" ht="22" customHeight="1">
      <c r="A229" s="27" t="n">
        <v>11</v>
      </c>
      <c r="B229" s="47" t="inlineStr">
        <is>
          <t>Peak / Realization</t>
        </is>
      </c>
      <c r="C229" s="29" t="n">
        <v>1</v>
      </c>
      <c r="D229" s="30" t="inlineStr">
        <is>
          <t>Monday — Squat</t>
        </is>
      </c>
      <c r="E229" s="31" t="n">
        <v>1</v>
      </c>
      <c r="F229" s="32" t="inlineStr">
        <is>
          <t>Squat</t>
        </is>
      </c>
      <c r="G229" s="33" t="inlineStr">
        <is>
          <t>Main Lift</t>
        </is>
      </c>
      <c r="H229" s="31" t="inlineStr">
        <is>
          <t>SQUAT</t>
        </is>
      </c>
      <c r="I229" s="27" t="n">
        <v>1</v>
      </c>
      <c r="J229" s="27" t="inlineStr">
        <is>
          <t>1</t>
        </is>
      </c>
      <c r="K229" s="34" t="n">
        <v>0.9</v>
      </c>
      <c r="L229" s="35">
        <f>ROUND('Setup &amp; Dashboard'!$E$7*0.9/5, 0)*5</f>
        <v/>
      </c>
      <c r="M229" s="27" t="inlineStr">
        <is>
          <t>RPE 8-9</t>
        </is>
      </c>
      <c r="N229" s="42" t="inlineStr">
        <is>
          <t>then 2x1 @ 82% TM</t>
        </is>
      </c>
      <c r="O229" s="12" t="inlineStr"/>
      <c r="P229" s="14" t="inlineStr"/>
    </row>
    <row r="230" ht="22" customHeight="1">
      <c r="A230" s="27" t="n">
        <v>11</v>
      </c>
      <c r="B230" s="47" t="inlineStr">
        <is>
          <t>Peak / Realization</t>
        </is>
      </c>
      <c r="C230" s="29" t="n">
        <v>1</v>
      </c>
      <c r="D230" s="30" t="inlineStr">
        <is>
          <t>Monday — Squat</t>
        </is>
      </c>
      <c r="E230" s="31" t="n">
        <v>2</v>
      </c>
      <c r="F230" s="30" t="inlineStr">
        <is>
          <t>Copenhagen plank</t>
        </is>
      </c>
      <c r="G230" s="31" t="inlineStr">
        <is>
          <t>Accessory</t>
        </is>
      </c>
      <c r="H230" s="31" t="inlineStr">
        <is>
          <t>-</t>
        </is>
      </c>
      <c r="I230" s="29" t="n">
        <v>2</v>
      </c>
      <c r="J230" s="29" t="inlineStr">
        <is>
          <t>15sec/side</t>
        </is>
      </c>
      <c r="K230" s="29" t="inlineStr"/>
      <c r="L230" s="29" t="inlineStr"/>
      <c r="M230" s="31" t="inlineStr"/>
      <c r="N230" s="36" t="inlineStr"/>
      <c r="O230" s="12" t="inlineStr"/>
      <c r="P230" s="14" t="inlineStr"/>
    </row>
    <row r="231" ht="22" customHeight="1">
      <c r="A231" s="37" t="n">
        <v>11</v>
      </c>
      <c r="B231" s="47" t="inlineStr">
        <is>
          <t>Peak / Realization</t>
        </is>
      </c>
      <c r="C231" s="38" t="n">
        <v>1</v>
      </c>
      <c r="D231" s="39" t="inlineStr">
        <is>
          <t>Monday — Squat</t>
        </is>
      </c>
      <c r="E231" s="40" t="n">
        <v>3</v>
      </c>
      <c r="F231" s="39" t="inlineStr">
        <is>
          <t>Pallof press</t>
        </is>
      </c>
      <c r="G231" s="40" t="inlineStr">
        <is>
          <t>Accessory</t>
        </is>
      </c>
      <c r="H231" s="40" t="inlineStr">
        <is>
          <t>-</t>
        </is>
      </c>
      <c r="I231" s="38" t="n">
        <v>2</v>
      </c>
      <c r="J231" s="38" t="inlineStr">
        <is>
          <t>8/side</t>
        </is>
      </c>
      <c r="K231" s="38" t="inlineStr"/>
      <c r="L231" s="29" t="inlineStr"/>
      <c r="M231" s="40" t="inlineStr"/>
      <c r="N231" s="36" t="inlineStr"/>
      <c r="O231" s="12" t="inlineStr"/>
      <c r="P231" s="14" t="inlineStr"/>
    </row>
    <row r="232" ht="22" customHeight="1">
      <c r="A232" s="27" t="n">
        <v>11</v>
      </c>
      <c r="B232" s="47" t="inlineStr">
        <is>
          <t>Peak / Realization</t>
        </is>
      </c>
      <c r="C232" s="29" t="n">
        <v>2</v>
      </c>
      <c r="D232" s="30" t="inlineStr">
        <is>
          <t>Tuesday — Bench</t>
        </is>
      </c>
      <c r="E232" s="31" t="n">
        <v>1</v>
      </c>
      <c r="F232" s="32" t="inlineStr">
        <is>
          <t>Bench</t>
        </is>
      </c>
      <c r="G232" s="33" t="inlineStr">
        <is>
          <t>Main Lift</t>
        </is>
      </c>
      <c r="H232" s="31" t="inlineStr">
        <is>
          <t>BENCH</t>
        </is>
      </c>
      <c r="I232" s="27" t="n">
        <v>1</v>
      </c>
      <c r="J232" s="27" t="inlineStr">
        <is>
          <t>1</t>
        </is>
      </c>
      <c r="K232" s="34" t="n">
        <v>0.9</v>
      </c>
      <c r="L232" s="35">
        <f>ROUND('Setup &amp; Dashboard'!$E$8*0.9/5, 0)*5</f>
        <v/>
      </c>
      <c r="M232" s="27" t="inlineStr">
        <is>
          <t>RPE 8-9</t>
        </is>
      </c>
      <c r="N232" s="42" t="inlineStr">
        <is>
          <t>then 2x1 @ 82% TM</t>
        </is>
      </c>
      <c r="O232" s="12" t="inlineStr"/>
      <c r="P232" s="14" t="inlineStr"/>
    </row>
    <row r="233" ht="22" customHeight="1">
      <c r="A233" s="37" t="n">
        <v>11</v>
      </c>
      <c r="B233" s="47" t="inlineStr">
        <is>
          <t>Peak / Realization</t>
        </is>
      </c>
      <c r="C233" s="38" t="n">
        <v>2</v>
      </c>
      <c r="D233" s="39" t="inlineStr">
        <is>
          <t>Tuesday — Bench</t>
        </is>
      </c>
      <c r="E233" s="40" t="n">
        <v>2</v>
      </c>
      <c r="F233" s="39" t="inlineStr">
        <is>
          <t>Close-grip bench</t>
        </is>
      </c>
      <c r="G233" s="40" t="inlineStr">
        <is>
          <t>Accessory</t>
        </is>
      </c>
      <c r="H233" s="40" t="inlineStr">
        <is>
          <t>-</t>
        </is>
      </c>
      <c r="I233" s="38" t="n">
        <v>2</v>
      </c>
      <c r="J233" s="38" t="inlineStr">
        <is>
          <t>3</t>
        </is>
      </c>
      <c r="K233" s="38" t="inlineStr"/>
      <c r="L233" s="29" t="inlineStr"/>
      <c r="M233" s="40" t="inlineStr"/>
      <c r="N233" s="36" t="inlineStr"/>
      <c r="O233" s="12" t="inlineStr"/>
      <c r="P233" s="14" t="inlineStr"/>
    </row>
    <row r="234" ht="22" customHeight="1">
      <c r="A234" s="27" t="n">
        <v>11</v>
      </c>
      <c r="B234" s="47" t="inlineStr">
        <is>
          <t>Peak / Realization</t>
        </is>
      </c>
      <c r="C234" s="29" t="n">
        <v>2</v>
      </c>
      <c r="D234" s="30" t="inlineStr">
        <is>
          <t>Tuesday — Bench</t>
        </is>
      </c>
      <c r="E234" s="31" t="n">
        <v>3</v>
      </c>
      <c r="F234" s="30" t="inlineStr">
        <is>
          <t>Face pull</t>
        </is>
      </c>
      <c r="G234" s="31" t="inlineStr">
        <is>
          <t>Accessory</t>
        </is>
      </c>
      <c r="H234" s="31" t="inlineStr">
        <is>
          <t>-</t>
        </is>
      </c>
      <c r="I234" s="29" t="n">
        <v>2</v>
      </c>
      <c r="J234" s="29" t="inlineStr">
        <is>
          <t>15</t>
        </is>
      </c>
      <c r="K234" s="29" t="inlineStr"/>
      <c r="L234" s="29" t="inlineStr"/>
      <c r="M234" s="31" t="inlineStr"/>
      <c r="N234" s="36" t="inlineStr"/>
      <c r="O234" s="12" t="inlineStr"/>
      <c r="P234" s="14" t="inlineStr"/>
    </row>
    <row r="235" ht="22" customHeight="1">
      <c r="A235" s="27" t="n">
        <v>11</v>
      </c>
      <c r="B235" s="47" t="inlineStr">
        <is>
          <t>Peak / Realization</t>
        </is>
      </c>
      <c r="C235" s="29" t="n">
        <v>3</v>
      </c>
      <c r="D235" s="30" t="inlineStr">
        <is>
          <t>Thursday — Deadlift</t>
        </is>
      </c>
      <c r="E235" s="31" t="n">
        <v>1</v>
      </c>
      <c r="F235" s="32" t="inlineStr">
        <is>
          <t>Deadlift</t>
        </is>
      </c>
      <c r="G235" s="33" t="inlineStr">
        <is>
          <t>Main Lift</t>
        </is>
      </c>
      <c r="H235" s="31" t="inlineStr">
        <is>
          <t>DEADLIFT</t>
        </is>
      </c>
      <c r="I235" s="27" t="n">
        <v>1</v>
      </c>
      <c r="J235" s="27" t="inlineStr">
        <is>
          <t>1</t>
        </is>
      </c>
      <c r="K235" s="34" t="n">
        <v>0.88</v>
      </c>
      <c r="L235" s="35">
        <f>ROUND('Setup &amp; Dashboard'!$E$9*0.88/5, 0)*5</f>
        <v/>
      </c>
      <c r="M235" s="27" t="inlineStr">
        <is>
          <t>RPE 8-9</t>
        </is>
      </c>
      <c r="N235" s="36" t="inlineStr"/>
      <c r="O235" s="12" t="inlineStr"/>
      <c r="P235" s="14" t="inlineStr"/>
    </row>
    <row r="236" ht="22" customHeight="1">
      <c r="A236" s="27" t="n">
        <v>11</v>
      </c>
      <c r="B236" s="47" t="inlineStr">
        <is>
          <t>Peak / Realization</t>
        </is>
      </c>
      <c r="C236" s="29" t="n">
        <v>3</v>
      </c>
      <c r="D236" s="30" t="inlineStr">
        <is>
          <t>Thursday — Deadlift</t>
        </is>
      </c>
      <c r="E236" s="31" t="n">
        <v>2</v>
      </c>
      <c r="F236" s="30" t="inlineStr">
        <is>
          <t>Reverse hyper</t>
        </is>
      </c>
      <c r="G236" s="31" t="inlineStr">
        <is>
          <t>Accessory</t>
        </is>
      </c>
      <c r="H236" s="31" t="inlineStr">
        <is>
          <t>-</t>
        </is>
      </c>
      <c r="I236" s="29" t="n">
        <v>2</v>
      </c>
      <c r="J236" s="29" t="inlineStr">
        <is>
          <t>10</t>
        </is>
      </c>
      <c r="K236" s="29" t="inlineStr"/>
      <c r="L236" s="29" t="inlineStr"/>
      <c r="M236" s="31" t="inlineStr"/>
      <c r="N236" s="36" t="inlineStr"/>
      <c r="O236" s="12" t="inlineStr"/>
      <c r="P236" s="14" t="inlineStr"/>
    </row>
    <row r="237" ht="22" customHeight="1">
      <c r="A237" s="27" t="n">
        <v>11</v>
      </c>
      <c r="B237" s="47" t="inlineStr">
        <is>
          <t>Peak / Realization</t>
        </is>
      </c>
      <c r="C237" s="29" t="n">
        <v>4</v>
      </c>
      <c r="D237" s="30" t="inlineStr">
        <is>
          <t>Friday — Bench variant / upper body</t>
        </is>
      </c>
      <c r="E237" s="31" t="n">
        <v>1</v>
      </c>
      <c r="F237" s="32" t="inlineStr">
        <is>
          <t>Competition-style bench</t>
        </is>
      </c>
      <c r="G237" s="33" t="inlineStr">
        <is>
          <t>Main Lift</t>
        </is>
      </c>
      <c r="H237" s="31" t="inlineStr">
        <is>
          <t>BENCH</t>
        </is>
      </c>
      <c r="I237" s="27" t="n">
        <v>2</v>
      </c>
      <c r="J237" s="27" t="inlineStr">
        <is>
          <t>2</t>
        </is>
      </c>
      <c r="K237" s="34" t="n">
        <v>0.75</v>
      </c>
      <c r="L237" s="35">
        <f>ROUND('Setup &amp; Dashboard'!$E$8*0.75/5, 0)*5</f>
        <v/>
      </c>
      <c r="M237" s="27" t="inlineStr">
        <is>
          <t>RPE 7</t>
        </is>
      </c>
      <c r="N237" s="36" t="inlineStr"/>
      <c r="O237" s="12" t="inlineStr"/>
      <c r="P237" s="14" t="inlineStr"/>
    </row>
    <row r="238" ht="22" customHeight="1">
      <c r="A238" s="27" t="n">
        <v>11</v>
      </c>
      <c r="B238" s="47" t="inlineStr">
        <is>
          <t>Peak / Realization</t>
        </is>
      </c>
      <c r="C238" s="29" t="n">
        <v>4</v>
      </c>
      <c r="D238" s="30" t="inlineStr">
        <is>
          <t>Friday — Bench variant / upper body</t>
        </is>
      </c>
      <c r="E238" s="31" t="n">
        <v>2</v>
      </c>
      <c r="F238" s="30" t="inlineStr">
        <is>
          <t>Chest-supported row</t>
        </is>
      </c>
      <c r="G238" s="31" t="inlineStr">
        <is>
          <t>Accessory</t>
        </is>
      </c>
      <c r="H238" s="31" t="inlineStr">
        <is>
          <t>-</t>
        </is>
      </c>
      <c r="I238" s="29" t="n">
        <v>2</v>
      </c>
      <c r="J238" s="29" t="inlineStr">
        <is>
          <t>8</t>
        </is>
      </c>
      <c r="K238" s="29" t="inlineStr"/>
      <c r="L238" s="29" t="inlineStr"/>
      <c r="M238" s="31" t="inlineStr"/>
      <c r="N238" s="36" t="inlineStr"/>
      <c r="O238" s="12" t="inlineStr"/>
      <c r="P238" s="14" t="inlineStr"/>
    </row>
    <row r="239" ht="22" customHeight="1">
      <c r="A239" s="37" t="n">
        <v>11</v>
      </c>
      <c r="B239" s="47" t="inlineStr">
        <is>
          <t>Peak / Realization</t>
        </is>
      </c>
      <c r="C239" s="38" t="n">
        <v>4</v>
      </c>
      <c r="D239" s="39" t="inlineStr">
        <is>
          <t>Friday — Bench variant / upper body</t>
        </is>
      </c>
      <c r="E239" s="40" t="n">
        <v>3</v>
      </c>
      <c r="F239" s="39" t="inlineStr">
        <is>
          <t>Lat pulldown</t>
        </is>
      </c>
      <c r="G239" s="40" t="inlineStr">
        <is>
          <t>Accessory</t>
        </is>
      </c>
      <c r="H239" s="40" t="inlineStr">
        <is>
          <t>-</t>
        </is>
      </c>
      <c r="I239" s="38" t="n">
        <v>2</v>
      </c>
      <c r="J239" s="38" t="inlineStr">
        <is>
          <t>8-10</t>
        </is>
      </c>
      <c r="K239" s="38" t="inlineStr"/>
      <c r="L239" s="29" t="inlineStr"/>
      <c r="M239" s="40" t="inlineStr"/>
      <c r="N239" s="36" t="inlineStr"/>
      <c r="O239" s="12" t="inlineStr"/>
      <c r="P239" s="14" t="inlineStr"/>
    </row>
    <row r="240" ht="22" customHeight="1">
      <c r="A240" s="27" t="n">
        <v>11</v>
      </c>
      <c r="B240" s="47" t="inlineStr">
        <is>
          <t>Peak / Realization</t>
        </is>
      </c>
      <c r="C240" s="29" t="n">
        <v>4</v>
      </c>
      <c r="D240" s="30" t="inlineStr">
        <is>
          <t>Friday — Bench variant / upper body</t>
        </is>
      </c>
      <c r="E240" s="31" t="n">
        <v>4</v>
      </c>
      <c r="F240" s="30" t="inlineStr">
        <is>
          <t>Lateral raise</t>
        </is>
      </c>
      <c r="G240" s="31" t="inlineStr">
        <is>
          <t>Accessory</t>
        </is>
      </c>
      <c r="H240" s="31" t="inlineStr">
        <is>
          <t>-</t>
        </is>
      </c>
      <c r="I240" s="29" t="n">
        <v>2</v>
      </c>
      <c r="J240" s="29" t="inlineStr">
        <is>
          <t>12-15</t>
        </is>
      </c>
      <c r="K240" s="29" t="inlineStr"/>
      <c r="L240" s="29" t="inlineStr"/>
      <c r="M240" s="31" t="inlineStr"/>
      <c r="N240" s="36" t="inlineStr"/>
      <c r="O240" s="12" t="inlineStr"/>
      <c r="P240" s="14" t="inlineStr"/>
    </row>
    <row r="241" ht="22" customHeight="1">
      <c r="A241" s="27" t="n">
        <v>11</v>
      </c>
      <c r="B241" s="47" t="inlineStr">
        <is>
          <t>Peak / Realization</t>
        </is>
      </c>
      <c r="C241" s="29" t="n">
        <v>5</v>
      </c>
      <c r="D241" s="30" t="inlineStr">
        <is>
          <t>Saturday — Squat variant + Rack Pull</t>
        </is>
      </c>
      <c r="E241" s="31" t="n">
        <v>1</v>
      </c>
      <c r="F241" s="32" t="inlineStr">
        <is>
          <t>Paused squat</t>
        </is>
      </c>
      <c r="G241" s="33" t="inlineStr">
        <is>
          <t>Main Lift</t>
        </is>
      </c>
      <c r="H241" s="31" t="inlineStr">
        <is>
          <t>SQUAT</t>
        </is>
      </c>
      <c r="I241" s="27" t="n">
        <v>2</v>
      </c>
      <c r="J241" s="27" t="inlineStr">
        <is>
          <t>2</t>
        </is>
      </c>
      <c r="K241" s="34" t="n">
        <v>0.75</v>
      </c>
      <c r="L241" s="35">
        <f>ROUND('Setup &amp; Dashboard'!$E$7*0.75/5, 0)*5</f>
        <v/>
      </c>
      <c r="M241" s="27" t="inlineStr">
        <is>
          <t>RPE 7</t>
        </is>
      </c>
      <c r="N241" s="36" t="inlineStr"/>
      <c r="O241" s="12" t="inlineStr"/>
      <c r="P241" s="14" t="inlineStr"/>
    </row>
    <row r="242" ht="22" customHeight="1">
      <c r="A242" s="27" t="n">
        <v>11</v>
      </c>
      <c r="B242" s="47" t="inlineStr">
        <is>
          <t>Peak / Realization</t>
        </is>
      </c>
      <c r="C242" s="29" t="n">
        <v>5</v>
      </c>
      <c r="D242" s="30" t="inlineStr">
        <is>
          <t>Saturday — Squat variant + Rack Pull</t>
        </is>
      </c>
      <c r="E242" s="31" t="n">
        <v>2</v>
      </c>
      <c r="F242" s="32" t="inlineStr">
        <is>
          <t>Rack pull</t>
        </is>
      </c>
      <c r="G242" s="33" t="inlineStr">
        <is>
          <t>Main Lift</t>
        </is>
      </c>
      <c r="H242" s="31" t="inlineStr">
        <is>
          <t>RACKPULL</t>
        </is>
      </c>
      <c r="I242" s="27" t="n">
        <v>1</v>
      </c>
      <c r="J242" s="27" t="inlineStr">
        <is>
          <t>2</t>
        </is>
      </c>
      <c r="K242" s="34" t="n">
        <v>0.87</v>
      </c>
      <c r="L242" s="35">
        <f>ROUND('Setup &amp; Dashboard'!$E$10*0.87/5, 0)*5</f>
        <v/>
      </c>
      <c r="M242" s="31" t="inlineStr"/>
      <c r="N242" s="42" t="inlineStr">
        <is>
          <t>1 heavy double, then stop</t>
        </is>
      </c>
      <c r="O242" s="12" t="inlineStr"/>
      <c r="P242" s="14" t="inlineStr"/>
    </row>
    <row r="243" ht="22" customHeight="1">
      <c r="A243" s="37" t="n">
        <v>11</v>
      </c>
      <c r="B243" s="47" t="inlineStr">
        <is>
          <t>Peak / Realization</t>
        </is>
      </c>
      <c r="C243" s="38" t="n">
        <v>5</v>
      </c>
      <c r="D243" s="39" t="inlineStr">
        <is>
          <t>Saturday — Squat variant + Rack Pull</t>
        </is>
      </c>
      <c r="E243" s="40" t="n">
        <v>3</v>
      </c>
      <c r="F243" s="39" t="inlineStr">
        <is>
          <t>Reverse hyper</t>
        </is>
      </c>
      <c r="G243" s="40" t="inlineStr">
        <is>
          <t>Accessory</t>
        </is>
      </c>
      <c r="H243" s="40" t="inlineStr">
        <is>
          <t>-</t>
        </is>
      </c>
      <c r="I243" s="38" t="n">
        <v>1</v>
      </c>
      <c r="J243" s="38" t="inlineStr">
        <is>
          <t>10</t>
        </is>
      </c>
      <c r="K243" s="38" t="inlineStr"/>
      <c r="L243" s="29" t="inlineStr"/>
      <c r="M243" s="40" t="inlineStr"/>
      <c r="N243" s="36" t="inlineStr"/>
      <c r="O243" s="12" t="inlineStr"/>
      <c r="P243" s="14" t="inlineStr"/>
    </row>
    <row r="244" ht="22" customHeight="1">
      <c r="A244" s="27" t="n">
        <v>12</v>
      </c>
      <c r="B244" s="48" t="inlineStr">
        <is>
          <t>FINAL FORM (Taper)</t>
        </is>
      </c>
      <c r="C244" s="29" t="n">
        <v>1</v>
      </c>
      <c r="D244" s="30" t="inlineStr">
        <is>
          <t>Monday — Squat</t>
        </is>
      </c>
      <c r="E244" s="31" t="n">
        <v>1</v>
      </c>
      <c r="F244" s="32" t="inlineStr">
        <is>
          <t>Squat</t>
        </is>
      </c>
      <c r="G244" s="33" t="inlineStr">
        <is>
          <t>Main Lift</t>
        </is>
      </c>
      <c r="H244" s="31" t="inlineStr">
        <is>
          <t>SQUAT</t>
        </is>
      </c>
      <c r="I244" s="27" t="n">
        <v>3</v>
      </c>
      <c r="J244" s="27" t="inlineStr">
        <is>
          <t>1</t>
        </is>
      </c>
      <c r="K244" s="34" t="n">
        <v>0.85</v>
      </c>
      <c r="L244" s="35">
        <f>ROUND('Setup &amp; Dashboard'!$E$7*0.85/5, 0)*5</f>
        <v/>
      </c>
      <c r="M244" s="27" t="inlineStr">
        <is>
          <t>RPE 7-8</t>
        </is>
      </c>
      <c r="N244" s="42" t="inlineStr">
        <is>
          <t>crisp reps only, stop if speed drops</t>
        </is>
      </c>
      <c r="O244" s="12" t="inlineStr"/>
      <c r="P244" s="14" t="inlineStr"/>
    </row>
    <row r="245" ht="22" customHeight="1">
      <c r="A245" s="37" t="n">
        <v>12</v>
      </c>
      <c r="B245" s="48" t="inlineStr">
        <is>
          <t>FINAL FORM (Taper)</t>
        </is>
      </c>
      <c r="C245" s="38" t="n">
        <v>1</v>
      </c>
      <c r="D245" s="39" t="inlineStr">
        <is>
          <t>Monday — Squat</t>
        </is>
      </c>
      <c r="E245" s="40" t="n">
        <v>2</v>
      </c>
      <c r="F245" s="39" t="inlineStr">
        <is>
          <t>Pallof press</t>
        </is>
      </c>
      <c r="G245" s="40" t="inlineStr">
        <is>
          <t>Accessory</t>
        </is>
      </c>
      <c r="H245" s="40" t="inlineStr">
        <is>
          <t>-</t>
        </is>
      </c>
      <c r="I245" s="38" t="n">
        <v>1</v>
      </c>
      <c r="J245" s="38" t="inlineStr">
        <is>
          <t>8/side</t>
        </is>
      </c>
      <c r="K245" s="38" t="inlineStr"/>
      <c r="L245" s="29" t="inlineStr"/>
      <c r="M245" s="40" t="inlineStr"/>
      <c r="N245" s="36" t="inlineStr"/>
      <c r="O245" s="12" t="inlineStr"/>
      <c r="P245" s="14" t="inlineStr"/>
    </row>
    <row r="246" ht="22" customHeight="1">
      <c r="A246" s="27" t="n">
        <v>12</v>
      </c>
      <c r="B246" s="48" t="inlineStr">
        <is>
          <t>FINAL FORM (Taper)</t>
        </is>
      </c>
      <c r="C246" s="29" t="n">
        <v>2</v>
      </c>
      <c r="D246" s="30" t="inlineStr">
        <is>
          <t>Tuesday — Bench</t>
        </is>
      </c>
      <c r="E246" s="31" t="n">
        <v>1</v>
      </c>
      <c r="F246" s="32" t="inlineStr">
        <is>
          <t>Bench</t>
        </is>
      </c>
      <c r="G246" s="33" t="inlineStr">
        <is>
          <t>Main Lift</t>
        </is>
      </c>
      <c r="H246" s="31" t="inlineStr">
        <is>
          <t>BENCH</t>
        </is>
      </c>
      <c r="I246" s="27" t="n">
        <v>3</v>
      </c>
      <c r="J246" s="27" t="inlineStr">
        <is>
          <t>1</t>
        </is>
      </c>
      <c r="K246" s="34" t="n">
        <v>0.85</v>
      </c>
      <c r="L246" s="35">
        <f>ROUND('Setup &amp; Dashboard'!$E$8*0.85/5, 0)*5</f>
        <v/>
      </c>
      <c r="M246" s="27" t="inlineStr">
        <is>
          <t>RPE 7-8</t>
        </is>
      </c>
      <c r="N246" s="36" t="inlineStr"/>
      <c r="O246" s="12" t="inlineStr"/>
      <c r="P246" s="14" t="inlineStr"/>
    </row>
    <row r="247" ht="22" customHeight="1">
      <c r="A247" s="37" t="n">
        <v>12</v>
      </c>
      <c r="B247" s="48" t="inlineStr">
        <is>
          <t>FINAL FORM (Taper)</t>
        </is>
      </c>
      <c r="C247" s="38" t="n">
        <v>2</v>
      </c>
      <c r="D247" s="39" t="inlineStr">
        <is>
          <t>Tuesday — Bench</t>
        </is>
      </c>
      <c r="E247" s="40" t="n">
        <v>2</v>
      </c>
      <c r="F247" s="39" t="inlineStr">
        <is>
          <t>Close-grip bench</t>
        </is>
      </c>
      <c r="G247" s="40" t="inlineStr">
        <is>
          <t>Accessory</t>
        </is>
      </c>
      <c r="H247" s="40" t="inlineStr">
        <is>
          <t>-</t>
        </is>
      </c>
      <c r="I247" s="38" t="n">
        <v>1</v>
      </c>
      <c r="J247" s="38" t="inlineStr">
        <is>
          <t>3</t>
        </is>
      </c>
      <c r="K247" s="38" t="inlineStr"/>
      <c r="L247" s="29" t="inlineStr"/>
      <c r="M247" s="40" t="inlineStr"/>
      <c r="N247" s="42" t="inlineStr">
        <is>
          <t>light</t>
        </is>
      </c>
      <c r="O247" s="12" t="inlineStr"/>
      <c r="P247" s="14" t="inlineStr"/>
    </row>
    <row r="248" ht="22" customHeight="1">
      <c r="A248" s="27" t="n">
        <v>12</v>
      </c>
      <c r="B248" s="48" t="inlineStr">
        <is>
          <t>FINAL FORM (Taper)</t>
        </is>
      </c>
      <c r="C248" s="29" t="n">
        <v>2</v>
      </c>
      <c r="D248" s="30" t="inlineStr">
        <is>
          <t>Tuesday — Bench</t>
        </is>
      </c>
      <c r="E248" s="31" t="n">
        <v>3</v>
      </c>
      <c r="F248" s="30" t="inlineStr">
        <is>
          <t>Face pull</t>
        </is>
      </c>
      <c r="G248" s="31" t="inlineStr">
        <is>
          <t>Accessory</t>
        </is>
      </c>
      <c r="H248" s="31" t="inlineStr">
        <is>
          <t>-</t>
        </is>
      </c>
      <c r="I248" s="29" t="n">
        <v>1</v>
      </c>
      <c r="J248" s="29" t="inlineStr">
        <is>
          <t>15</t>
        </is>
      </c>
      <c r="K248" s="29" t="inlineStr"/>
      <c r="L248" s="29" t="inlineStr"/>
      <c r="M248" s="31" t="inlineStr"/>
      <c r="N248" s="36" t="inlineStr"/>
      <c r="O248" s="12" t="inlineStr"/>
      <c r="P248" s="14" t="inlineStr"/>
    </row>
    <row r="249" ht="22" customHeight="1">
      <c r="A249" s="27" t="n">
        <v>12</v>
      </c>
      <c r="B249" s="48" t="inlineStr">
        <is>
          <t>FINAL FORM (Taper)</t>
        </is>
      </c>
      <c r="C249" s="29" t="n">
        <v>3</v>
      </c>
      <c r="D249" s="30" t="inlineStr">
        <is>
          <t>Thursday — Deadlift</t>
        </is>
      </c>
      <c r="E249" s="31" t="n">
        <v>1</v>
      </c>
      <c r="F249" s="32" t="inlineStr">
        <is>
          <t>Deadlift</t>
        </is>
      </c>
      <c r="G249" s="33" t="inlineStr">
        <is>
          <t>Main Lift</t>
        </is>
      </c>
      <c r="H249" s="31" t="inlineStr">
        <is>
          <t>DEADLIFT</t>
        </is>
      </c>
      <c r="I249" s="27" t="n">
        <v>2</v>
      </c>
      <c r="J249" s="27" t="inlineStr">
        <is>
          <t>1</t>
        </is>
      </c>
      <c r="K249" s="34" t="n">
        <v>0.82</v>
      </c>
      <c r="L249" s="35">
        <f>ROUND('Setup &amp; Dashboard'!$E$9*0.82/5, 0)*5</f>
        <v/>
      </c>
      <c r="M249" s="27" t="inlineStr">
        <is>
          <t>RPE 7</t>
        </is>
      </c>
      <c r="N249" s="36" t="inlineStr"/>
      <c r="O249" s="12" t="inlineStr"/>
      <c r="P249" s="14" t="inlineStr"/>
    </row>
    <row r="250" ht="22" customHeight="1">
      <c r="A250" s="27" t="n">
        <v>12</v>
      </c>
      <c r="B250" s="48" t="inlineStr">
        <is>
          <t>FINAL FORM (Taper)</t>
        </is>
      </c>
      <c r="C250" s="29" t="n">
        <v>3</v>
      </c>
      <c r="D250" s="30" t="inlineStr">
        <is>
          <t>Thursday — Deadlift</t>
        </is>
      </c>
      <c r="E250" s="31" t="n">
        <v>2</v>
      </c>
      <c r="F250" s="30" t="inlineStr">
        <is>
          <t>Reverse hyper</t>
        </is>
      </c>
      <c r="G250" s="31" t="inlineStr">
        <is>
          <t>Accessory</t>
        </is>
      </c>
      <c r="H250" s="31" t="inlineStr">
        <is>
          <t>-</t>
        </is>
      </c>
      <c r="I250" s="29" t="n">
        <v>1</v>
      </c>
      <c r="J250" s="29" t="inlineStr">
        <is>
          <t>10</t>
        </is>
      </c>
      <c r="K250" s="29" t="inlineStr"/>
      <c r="L250" s="29" t="inlineStr"/>
      <c r="M250" s="31" t="inlineStr"/>
      <c r="N250" s="36" t="inlineStr"/>
      <c r="O250" s="12" t="inlineStr"/>
      <c r="P250" s="14" t="inlineStr"/>
    </row>
    <row r="251" ht="22" customHeight="1">
      <c r="A251" s="27" t="n">
        <v>12</v>
      </c>
      <c r="B251" s="48" t="inlineStr">
        <is>
          <t>FINAL FORM (Taper)</t>
        </is>
      </c>
      <c r="C251" s="29" t="n">
        <v>4</v>
      </c>
      <c r="D251" s="30" t="inlineStr">
        <is>
          <t>Friday — Bench variant / upper body</t>
        </is>
      </c>
      <c r="E251" s="31" t="n">
        <v>1</v>
      </c>
      <c r="F251" s="32" t="inlineStr">
        <is>
          <t>Bench lockout support</t>
        </is>
      </c>
      <c r="G251" s="33" t="inlineStr">
        <is>
          <t>Main Lift</t>
        </is>
      </c>
      <c r="H251" s="31" t="inlineStr">
        <is>
          <t>BENCH</t>
        </is>
      </c>
      <c r="I251" s="27" t="n">
        <v>2</v>
      </c>
      <c r="J251" s="27" t="inlineStr">
        <is>
          <t>3</t>
        </is>
      </c>
      <c r="K251" s="34" t="n">
        <v>0.65</v>
      </c>
      <c r="L251" s="35">
        <f>ROUND('Setup &amp; Dashboard'!$E$8*0.65/5, 0)*5</f>
        <v/>
      </c>
      <c r="M251" s="31" t="inlineStr"/>
      <c r="N251" s="36" t="inlineStr"/>
      <c r="O251" s="12" t="inlineStr"/>
      <c r="P251" s="14" t="inlineStr"/>
    </row>
    <row r="252" ht="22" customHeight="1">
      <c r="A252" s="27" t="n">
        <v>12</v>
      </c>
      <c r="B252" s="48" t="inlineStr">
        <is>
          <t>FINAL FORM (Taper)</t>
        </is>
      </c>
      <c r="C252" s="29" t="n">
        <v>4</v>
      </c>
      <c r="D252" s="30" t="inlineStr">
        <is>
          <t>Friday — Bench variant / upper body</t>
        </is>
      </c>
      <c r="E252" s="31" t="n">
        <v>2</v>
      </c>
      <c r="F252" s="30" t="inlineStr">
        <is>
          <t>Chest-supported row</t>
        </is>
      </c>
      <c r="G252" s="31" t="inlineStr">
        <is>
          <t>Accessory</t>
        </is>
      </c>
      <c r="H252" s="31" t="inlineStr">
        <is>
          <t>-</t>
        </is>
      </c>
      <c r="I252" s="29" t="n">
        <v>1</v>
      </c>
      <c r="J252" s="29" t="inlineStr">
        <is>
          <t>8</t>
        </is>
      </c>
      <c r="K252" s="29" t="inlineStr"/>
      <c r="L252" s="29" t="inlineStr"/>
      <c r="M252" s="31" t="inlineStr"/>
      <c r="N252" s="36" t="inlineStr"/>
      <c r="O252" s="12" t="inlineStr"/>
      <c r="P252" s="14" t="inlineStr"/>
    </row>
    <row r="253" ht="22" customHeight="1">
      <c r="A253" s="37" t="n">
        <v>12</v>
      </c>
      <c r="B253" s="48" t="inlineStr">
        <is>
          <t>FINAL FORM (Taper)</t>
        </is>
      </c>
      <c r="C253" s="38" t="n">
        <v>4</v>
      </c>
      <c r="D253" s="39" t="inlineStr">
        <is>
          <t>Friday — Bench variant / upper body</t>
        </is>
      </c>
      <c r="E253" s="40" t="n">
        <v>3</v>
      </c>
      <c r="F253" s="39" t="inlineStr">
        <is>
          <t>Lat pulldown</t>
        </is>
      </c>
      <c r="G253" s="40" t="inlineStr">
        <is>
          <t>Accessory</t>
        </is>
      </c>
      <c r="H253" s="40" t="inlineStr">
        <is>
          <t>-</t>
        </is>
      </c>
      <c r="I253" s="38" t="n">
        <v>1</v>
      </c>
      <c r="J253" s="38" t="inlineStr">
        <is>
          <t>8</t>
        </is>
      </c>
      <c r="K253" s="38" t="inlineStr"/>
      <c r="L253" s="29" t="inlineStr"/>
      <c r="M253" s="40" t="inlineStr"/>
      <c r="N253" s="36" t="inlineStr"/>
      <c r="O253" s="12" t="inlineStr"/>
      <c r="P253" s="14" t="inlineStr"/>
    </row>
    <row r="254" ht="22" customHeight="1">
      <c r="A254" s="27" t="n">
        <v>12</v>
      </c>
      <c r="B254" s="48" t="inlineStr">
        <is>
          <t>FINAL FORM (Taper)</t>
        </is>
      </c>
      <c r="C254" s="29" t="n">
        <v>5</v>
      </c>
      <c r="D254" s="30" t="inlineStr">
        <is>
          <t>Saturday — Squat variant + Rack Pull</t>
        </is>
      </c>
      <c r="E254" s="31" t="n">
        <v>1</v>
      </c>
      <c r="F254" s="32" t="inlineStr">
        <is>
          <t>High bar squat</t>
        </is>
      </c>
      <c r="G254" s="33" t="inlineStr">
        <is>
          <t>Main Lift</t>
        </is>
      </c>
      <c r="H254" s="31" t="inlineStr">
        <is>
          <t>SQUAT</t>
        </is>
      </c>
      <c r="I254" s="27" t="n">
        <v>2</v>
      </c>
      <c r="J254" s="27" t="inlineStr">
        <is>
          <t>3</t>
        </is>
      </c>
      <c r="K254" s="34" t="n">
        <v>0.6</v>
      </c>
      <c r="L254" s="35">
        <f>ROUND('Setup &amp; Dashboard'!$E$7*0.6/5, 0)*5</f>
        <v/>
      </c>
      <c r="M254" s="31" t="inlineStr"/>
      <c r="N254" s="36" t="inlineStr"/>
      <c r="O254" s="12" t="inlineStr"/>
      <c r="P254" s="14" t="inlineStr"/>
    </row>
    <row r="255" ht="22" customHeight="1">
      <c r="A255" s="27" t="n">
        <v>12</v>
      </c>
      <c r="B255" s="48" t="inlineStr">
        <is>
          <t>FINAL FORM (Taper)</t>
        </is>
      </c>
      <c r="C255" s="29" t="n">
        <v>5</v>
      </c>
      <c r="D255" s="30" t="inlineStr">
        <is>
          <t>Saturday — Squat variant + Rack Pull</t>
        </is>
      </c>
      <c r="E255" s="31" t="n">
        <v>2</v>
      </c>
      <c r="F255" s="32" t="inlineStr">
        <is>
          <t>Rack pull</t>
        </is>
      </c>
      <c r="G255" s="33" t="inlineStr">
        <is>
          <t>Main Lift</t>
        </is>
      </c>
      <c r="H255" s="31" t="inlineStr">
        <is>
          <t>RACKPULL</t>
        </is>
      </c>
      <c r="I255" s="27" t="n">
        <v>2</v>
      </c>
      <c r="J255" s="27" t="inlineStr">
        <is>
          <t>1</t>
        </is>
      </c>
      <c r="K255" s="34" t="n">
        <v>0.82</v>
      </c>
      <c r="L255" s="35">
        <f>ROUND('Setup &amp; Dashboard'!$E$10*0.82/5, 0)*5</f>
        <v/>
      </c>
      <c r="M255" s="27" t="inlineStr">
        <is>
          <t>RPE 7</t>
        </is>
      </c>
      <c r="N255" s="36" t="inlineStr"/>
      <c r="O255" s="12" t="inlineStr"/>
      <c r="P255" s="14" t="inlineStr"/>
    </row>
    <row r="256" ht="22" customHeight="1">
      <c r="A256" s="27" t="n">
        <v>12</v>
      </c>
      <c r="B256" s="48" t="inlineStr">
        <is>
          <t>FINAL FORM (Taper)</t>
        </is>
      </c>
      <c r="C256" s="29" t="n">
        <v>5</v>
      </c>
      <c r="D256" s="30" t="inlineStr">
        <is>
          <t>Saturday — Squat variant + Rack Pull</t>
        </is>
      </c>
      <c r="E256" s="31" t="n">
        <v>3</v>
      </c>
      <c r="F256" s="30" t="inlineStr">
        <is>
          <t>Reverse hyper</t>
        </is>
      </c>
      <c r="G256" s="31" t="inlineStr">
        <is>
          <t>Accessory</t>
        </is>
      </c>
      <c r="H256" s="31" t="inlineStr">
        <is>
          <t>-</t>
        </is>
      </c>
      <c r="I256" s="29" t="n">
        <v>1</v>
      </c>
      <c r="J256" s="29" t="inlineStr">
        <is>
          <t>10</t>
        </is>
      </c>
      <c r="K256" s="29" t="inlineStr"/>
      <c r="L256" s="29" t="inlineStr"/>
      <c r="M256" s="31" t="inlineStr"/>
      <c r="N256" s="36" t="inlineStr"/>
      <c r="O256" s="12" t="inlineStr"/>
      <c r="P256" s="14" t="inlineStr"/>
    </row>
    <row r="257" ht="22" customHeight="1">
      <c r="A257" s="27" t="n">
        <v>13</v>
      </c>
      <c r="B257" s="49" t="inlineStr">
        <is>
          <t>Testing Window</t>
        </is>
      </c>
      <c r="C257" s="29" t="n">
        <v>1</v>
      </c>
      <c r="D257" s="30" t="inlineStr">
        <is>
          <t>Day A — Light activation</t>
        </is>
      </c>
      <c r="E257" s="31" t="n">
        <v>1</v>
      </c>
      <c r="F257" s="32" t="inlineStr">
        <is>
          <t>Squat</t>
        </is>
      </c>
      <c r="G257" s="33" t="inlineStr">
        <is>
          <t>Main Lift</t>
        </is>
      </c>
      <c r="H257" s="31" t="inlineStr">
        <is>
          <t>SQUAT</t>
        </is>
      </c>
      <c r="I257" s="27" t="n">
        <v>2</v>
      </c>
      <c r="J257" s="27" t="inlineStr">
        <is>
          <t>3</t>
        </is>
      </c>
      <c r="K257" s="34" t="n">
        <v>0.5</v>
      </c>
      <c r="L257" s="35">
        <f>ROUND('Setup &amp; Dashboard'!$E$7*0.5/5, 0)*5</f>
        <v/>
      </c>
      <c r="M257" s="31" t="inlineStr"/>
      <c r="N257" s="36" t="inlineStr"/>
      <c r="O257" s="12" t="inlineStr"/>
      <c r="P257" s="14" t="inlineStr"/>
    </row>
    <row r="258" ht="22" customHeight="1">
      <c r="A258" s="27" t="n">
        <v>13</v>
      </c>
      <c r="B258" s="49" t="inlineStr">
        <is>
          <t>Testing Window</t>
        </is>
      </c>
      <c r="C258" s="29" t="n">
        <v>1</v>
      </c>
      <c r="D258" s="30" t="inlineStr">
        <is>
          <t>Day A — Light activation</t>
        </is>
      </c>
      <c r="E258" s="31" t="n">
        <v>2</v>
      </c>
      <c r="F258" s="32" t="inlineStr">
        <is>
          <t>Bench</t>
        </is>
      </c>
      <c r="G258" s="33" t="inlineStr">
        <is>
          <t>Main Lift</t>
        </is>
      </c>
      <c r="H258" s="31" t="inlineStr">
        <is>
          <t>BENCH</t>
        </is>
      </c>
      <c r="I258" s="27" t="n">
        <v>2</v>
      </c>
      <c r="J258" s="27" t="inlineStr">
        <is>
          <t>3</t>
        </is>
      </c>
      <c r="K258" s="34" t="n">
        <v>0.5</v>
      </c>
      <c r="L258" s="35">
        <f>ROUND('Setup &amp; Dashboard'!$E$8*0.5/5, 0)*5</f>
        <v/>
      </c>
      <c r="M258" s="31" t="inlineStr"/>
      <c r="N258" s="36" t="inlineStr"/>
      <c r="O258" s="12" t="inlineStr"/>
      <c r="P258" s="14" t="inlineStr"/>
    </row>
    <row r="259" ht="22" customHeight="1">
      <c r="A259" s="27" t="n">
        <v>13</v>
      </c>
      <c r="B259" s="49" t="inlineStr">
        <is>
          <t>Testing Window</t>
        </is>
      </c>
      <c r="C259" s="29" t="n">
        <v>2</v>
      </c>
      <c r="D259" s="30" t="inlineStr">
        <is>
          <t>Day B — Bench PR (After 1 Rest Day)</t>
        </is>
      </c>
      <c r="E259" s="31" t="n">
        <v>1</v>
      </c>
      <c r="F259" s="32" t="inlineStr">
        <is>
          <t>Bench Opener</t>
        </is>
      </c>
      <c r="G259" s="33" t="inlineStr">
        <is>
          <t>Main Lift</t>
        </is>
      </c>
      <c r="H259" s="31" t="inlineStr">
        <is>
          <t>BENCH</t>
        </is>
      </c>
      <c r="I259" s="27" t="inlineStr">
        <is>
          <t>3 Attempts</t>
        </is>
      </c>
      <c r="J259" s="27" t="inlineStr">
        <is>
          <t>1 (Single)</t>
        </is>
      </c>
      <c r="K259" s="34" t="n">
        <v>0.9</v>
      </c>
      <c r="L259" s="35">
        <f>ROUND('Setup &amp; Dashboard'!$E$8*0.9/5, 0)*5</f>
        <v/>
      </c>
      <c r="M259" s="31" t="inlineStr"/>
      <c r="N259" s="42" t="inlineStr">
        <is>
          <t>Opener ~90%, Second: small jump, Third: PR attempt</t>
        </is>
      </c>
      <c r="O259" s="12" t="inlineStr"/>
      <c r="P259" s="14" t="inlineStr"/>
    </row>
    <row r="260" ht="22" customHeight="1">
      <c r="A260" s="27" t="n">
        <v>13</v>
      </c>
      <c r="B260" s="49" t="inlineStr">
        <is>
          <t>Testing Window</t>
        </is>
      </c>
      <c r="C260" s="29" t="n">
        <v>3</v>
      </c>
      <c r="D260" s="30" t="inlineStr">
        <is>
          <t>Day C — Squat PR (After 1 Rest Day)</t>
        </is>
      </c>
      <c r="E260" s="31" t="n">
        <v>1</v>
      </c>
      <c r="F260" s="32" t="inlineStr">
        <is>
          <t>Squat Opener</t>
        </is>
      </c>
      <c r="G260" s="33" t="inlineStr">
        <is>
          <t>Main Lift</t>
        </is>
      </c>
      <c r="H260" s="31" t="inlineStr">
        <is>
          <t>SQUAT</t>
        </is>
      </c>
      <c r="I260" s="27" t="inlineStr">
        <is>
          <t>3 Attempts</t>
        </is>
      </c>
      <c r="J260" s="27" t="inlineStr">
        <is>
          <t>1 (Single)</t>
        </is>
      </c>
      <c r="K260" s="34" t="n">
        <v>0.9</v>
      </c>
      <c r="L260" s="35">
        <f>ROUND('Setup &amp; Dashboard'!$E$7*0.9/5, 0)*5</f>
        <v/>
      </c>
      <c r="M260" s="31" t="inlineStr"/>
      <c r="N260" s="42" t="inlineStr">
        <is>
          <t>Opener ~90%, Second: small jump, Third: PR attempt</t>
        </is>
      </c>
      <c r="O260" s="12" t="inlineStr"/>
      <c r="P260" s="14" t="inlineStr"/>
    </row>
    <row r="261" ht="22" customHeight="1">
      <c r="A261" s="27" t="n">
        <v>13</v>
      </c>
      <c r="B261" s="49" t="inlineStr">
        <is>
          <t>Testing Window</t>
        </is>
      </c>
      <c r="C261" s="29" t="n">
        <v>4</v>
      </c>
      <c r="D261" s="30" t="inlineStr">
        <is>
          <t>Day D — Deadlift PR (After 2 Rest Days)</t>
        </is>
      </c>
      <c r="E261" s="31" t="n">
        <v>1</v>
      </c>
      <c r="F261" s="32" t="inlineStr">
        <is>
          <t>Deadlift Opener</t>
        </is>
      </c>
      <c r="G261" s="33" t="inlineStr">
        <is>
          <t>Main Lift</t>
        </is>
      </c>
      <c r="H261" s="31" t="inlineStr">
        <is>
          <t>DEADLIFT</t>
        </is>
      </c>
      <c r="I261" s="27" t="inlineStr">
        <is>
          <t>3 Attempts</t>
        </is>
      </c>
      <c r="J261" s="27" t="inlineStr">
        <is>
          <t>1 (Single)</t>
        </is>
      </c>
      <c r="K261" s="34" t="n">
        <v>0.9</v>
      </c>
      <c r="L261" s="35">
        <f>ROUND('Setup &amp; Dashboard'!$E$9*0.9/5, 0)*5</f>
        <v/>
      </c>
      <c r="M261" s="31" t="inlineStr"/>
      <c r="N261" s="42" t="inlineStr">
        <is>
          <t>Opener ~90%, Second: small jump, Third: PR attempt</t>
        </is>
      </c>
      <c r="O261" s="12" t="inlineStr"/>
      <c r="P261" s="14" t="inlineStr"/>
    </row>
    <row r="262" ht="22" customHeight="1">
      <c r="A262" s="27" t="n">
        <v>13</v>
      </c>
      <c r="B262" s="49" t="inlineStr">
        <is>
          <t>Testing Window</t>
        </is>
      </c>
      <c r="C262" s="29" t="n">
        <v>5</v>
      </c>
      <c r="D262" s="30" t="inlineStr">
        <is>
          <t>Day E — Rack Pull PR (After 2 Rest Days)</t>
        </is>
      </c>
      <c r="E262" s="31" t="n">
        <v>1</v>
      </c>
      <c r="F262" s="32" t="inlineStr">
        <is>
          <t>Rack Pull Opener</t>
        </is>
      </c>
      <c r="G262" s="33" t="inlineStr">
        <is>
          <t>Main Lift</t>
        </is>
      </c>
      <c r="H262" s="31" t="inlineStr">
        <is>
          <t>RACKPULL</t>
        </is>
      </c>
      <c r="I262" s="27" t="inlineStr">
        <is>
          <t>2 Attempts</t>
        </is>
      </c>
      <c r="J262" s="27" t="inlineStr">
        <is>
          <t>1 (Single)</t>
        </is>
      </c>
      <c r="K262" s="34" t="n">
        <v>0.9</v>
      </c>
      <c r="L262" s="35">
        <f>ROUND('Setup &amp; Dashboard'!$E$10*0.9/5, 0)*5</f>
        <v/>
      </c>
      <c r="M262" s="31" t="inlineStr"/>
      <c r="N262" s="42" t="inlineStr">
        <is>
          <t>Opener ~90%, Second: PR attempt</t>
        </is>
      </c>
      <c r="O262" s="12" t="inlineStr"/>
      <c r="P262" s="14" t="inlineStr"/>
    </row>
  </sheetData>
  <mergeCells count="2">
    <mergeCell ref="A1:P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8"/>
  <sheetViews>
    <sheetView showGridLines="1" workbookViewId="0">
      <selection activeCell="A1" sqref="A1"/>
    </sheetView>
  </sheetViews>
  <sheetFormatPr baseColWidth="8" defaultRowHeight="15"/>
  <cols>
    <col width="5" customWidth="1" min="1" max="1"/>
    <col width="29" customWidth="1" min="2" max="2"/>
    <col width="10" customWidth="1" min="3" max="3"/>
    <col width="10" customWidth="1" min="4" max="4"/>
    <col width="13" customWidth="1" min="5" max="5"/>
    <col width="10" customWidth="1" min="6" max="6"/>
    <col width="48" customWidth="1" min="7" max="7"/>
    <col width="13" customWidth="1" min="8" max="8"/>
    <col width="71" customWidth="1" min="9" max="9"/>
    <col width="16" customWidth="1" min="10" max="10"/>
    <col width="15" customWidth="1" min="11" max="11"/>
    <col width="10" customWidth="1" min="12" max="12"/>
  </cols>
  <sheetData>
    <row r="1" ht="30" customHeight="1">
      <c r="A1" s="1" t="inlineStr">
        <is>
          <t>CHIKO_LIFTS : BLOCK 1 (W1-5) (WEEKS 1–5)</t>
        </is>
      </c>
    </row>
    <row r="2" ht="20" customHeight="1">
      <c r="A2" s="26" t="inlineStr">
        <is>
          <t>Accumulation Base (W1-3) ➔ Volume Peak (W4) ➔ Deload (W5)</t>
        </is>
      </c>
    </row>
    <row r="3"/>
    <row r="4" ht="26" customHeight="1">
      <c r="A4" s="50" t="inlineStr">
        <is>
          <t>WEEK 1 — ACCUMULATION</t>
        </is>
      </c>
    </row>
    <row r="5" ht="22" customHeight="1">
      <c r="A5" s="51" t="inlineStr">
        <is>
          <t>Day 1 : Monday — Squat</t>
        </is>
      </c>
    </row>
    <row r="6" ht="64" customHeight="1">
      <c r="A6" s="52" t="inlineStr">
        <is>
          <t>💡 Coaching Rationale: Opens the cycle at 70% TM for 4x4, a volume/intensity combo you should be able to execute well short of failure. The job this week isn't to push RPE, it's to groove the pattern under load and establish a baseline your body can build on. Split squats and leg curls target the unilateral stability and hamstring strength that heavier squats will demand later.</t>
        </is>
      </c>
    </row>
    <row r="7" ht="22" customHeight="1">
      <c r="A7" s="53" t="inlineStr">
        <is>
          <t>#</t>
        </is>
      </c>
      <c r="B7" s="53" t="inlineStr">
        <is>
          <t>Exercise</t>
        </is>
      </c>
      <c r="C7" s="53" t="inlineStr">
        <is>
          <t>Type</t>
        </is>
      </c>
      <c r="D7" s="53" t="inlineStr">
        <is>
          <t>Sets</t>
        </is>
      </c>
      <c r="E7" s="53" t="inlineStr">
        <is>
          <t>Reps</t>
        </is>
      </c>
      <c r="F7" s="53" t="inlineStr">
        <is>
          <t>% TM</t>
        </is>
      </c>
      <c r="G7" s="53" t="inlineStr">
        <is>
          <t>Prescribed Weight</t>
        </is>
      </c>
      <c r="H7" s="53" t="inlineStr">
        <is>
          <t>Target RPE</t>
        </is>
      </c>
      <c r="I7" s="53" t="inlineStr">
        <is>
          <t>Prescription Notes</t>
        </is>
      </c>
      <c r="J7" s="53" t="inlineStr">
        <is>
          <t>Actual Weight</t>
        </is>
      </c>
      <c r="K7" s="53" t="inlineStr">
        <is>
          <t>Actual Reps</t>
        </is>
      </c>
      <c r="L7" s="53" t="inlineStr">
        <is>
          <t>Done?</t>
        </is>
      </c>
    </row>
    <row r="8" ht="20" customHeight="1">
      <c r="A8" s="31" t="n">
        <v>1</v>
      </c>
      <c r="B8" s="32" t="inlineStr">
        <is>
          <t>Back squat</t>
        </is>
      </c>
      <c r="C8" s="54" t="inlineStr">
        <is>
          <t>MAIN</t>
        </is>
      </c>
      <c r="D8" s="27" t="n">
        <v>4</v>
      </c>
      <c r="E8" s="27" t="inlineStr">
        <is>
          <t>4</t>
        </is>
      </c>
      <c r="F8" s="34" t="n">
        <v>0.7</v>
      </c>
      <c r="G8" s="35">
        <f>ROUND('Setup &amp; Dashboard'!$E$7*0.7/5, 0)*5</f>
        <v/>
      </c>
      <c r="H8" s="27" t="inlineStr">
        <is>
          <t>RPE 7</t>
        </is>
      </c>
      <c r="I8" s="36" t="inlineStr"/>
      <c r="J8" s="12" t="inlineStr"/>
      <c r="K8" s="8" t="inlineStr"/>
      <c r="L8" s="12" t="inlineStr"/>
    </row>
    <row r="9" ht="20" customHeight="1">
      <c r="A9" s="40" t="n">
        <v>2</v>
      </c>
      <c r="B9" s="30" t="inlineStr">
        <is>
          <t>Bulgarian split squat</t>
        </is>
      </c>
      <c r="C9" s="55" t="inlineStr">
        <is>
          <t>Acc</t>
        </is>
      </c>
      <c r="D9" s="38" t="n">
        <v>3</v>
      </c>
      <c r="E9" s="38" t="inlineStr">
        <is>
          <t>10/leg</t>
        </is>
      </c>
      <c r="F9" s="38" t="inlineStr"/>
      <c r="G9" s="29" t="inlineStr"/>
      <c r="H9" s="40" t="inlineStr"/>
      <c r="I9" s="36" t="inlineStr"/>
      <c r="J9" s="12" t="inlineStr"/>
      <c r="K9" s="8" t="inlineStr"/>
      <c r="L9" s="12" t="inlineStr"/>
    </row>
    <row r="10" ht="20" customHeight="1">
      <c r="A10" s="31" t="n">
        <v>3</v>
      </c>
      <c r="B10" s="30" t="inlineStr">
        <is>
          <t>Seated leg curl</t>
        </is>
      </c>
      <c r="C10" s="55" t="inlineStr">
        <is>
          <t>Acc</t>
        </is>
      </c>
      <c r="D10" s="29" t="n">
        <v>3</v>
      </c>
      <c r="E10" s="29" t="inlineStr">
        <is>
          <t>12</t>
        </is>
      </c>
      <c r="F10" s="29" t="inlineStr"/>
      <c r="G10" s="29" t="inlineStr"/>
      <c r="H10" s="31" t="inlineStr"/>
      <c r="I10" s="36" t="inlineStr"/>
      <c r="J10" s="12" t="inlineStr"/>
      <c r="K10" s="8" t="inlineStr"/>
      <c r="L10" s="12" t="inlineStr"/>
    </row>
    <row r="11" ht="20" customHeight="1">
      <c r="A11" s="40" t="n">
        <v>4</v>
      </c>
      <c r="B11" s="30" t="inlineStr">
        <is>
          <t>Pallof press</t>
        </is>
      </c>
      <c r="C11" s="55" t="inlineStr">
        <is>
          <t>Acc</t>
        </is>
      </c>
      <c r="D11" s="38" t="n">
        <v>3</v>
      </c>
      <c r="E11" s="38" t="inlineStr">
        <is>
          <t>10/side</t>
        </is>
      </c>
      <c r="F11" s="38" t="inlineStr"/>
      <c r="G11" s="29" t="inlineStr"/>
      <c r="H11" s="40" t="inlineStr"/>
      <c r="I11" s="36" t="inlineStr"/>
      <c r="J11" s="12" t="inlineStr"/>
      <c r="K11" s="8" t="inlineStr"/>
      <c r="L11" s="12" t="inlineStr"/>
    </row>
    <row r="12" ht="20" customHeight="1">
      <c r="A12" s="31" t="n">
        <v>5</v>
      </c>
      <c r="B12" s="30" t="inlineStr">
        <is>
          <t>Standing calf raise</t>
        </is>
      </c>
      <c r="C12" s="55" t="inlineStr">
        <is>
          <t>Acc</t>
        </is>
      </c>
      <c r="D12" s="29" t="n">
        <v>3</v>
      </c>
      <c r="E12" s="29" t="inlineStr">
        <is>
          <t>15</t>
        </is>
      </c>
      <c r="F12" s="29" t="inlineStr"/>
      <c r="G12" s="29" t="inlineStr"/>
      <c r="H12" s="31" t="inlineStr"/>
      <c r="I12" s="36" t="inlineStr"/>
      <c r="J12" s="12" t="inlineStr"/>
      <c r="K12" s="8" t="inlineStr"/>
      <c r="L12" s="12" t="inlineStr"/>
    </row>
    <row r="13"/>
    <row r="14" ht="22" customHeight="1">
      <c r="A14" s="51" t="inlineStr">
        <is>
          <t>Day 2 : Tuesday — Bench</t>
        </is>
      </c>
    </row>
    <row r="15" ht="48" customHeight="1">
      <c r="A15" s="52" t="inlineStr">
        <is>
          <t>💡 Coaching Rationale: Mirrors Day 1's approach at the same 70% TM. Close-grip bench and triceps work start building the lockout strength you won't need yet but will in Weeks 8-12. Face pulls are prophylactic — they keep the rear delts/rotator cuff balanced against all the pressing volume before it accumulates.</t>
        </is>
      </c>
    </row>
    <row r="16" ht="22" customHeight="1">
      <c r="A16" s="53" t="inlineStr">
        <is>
          <t>#</t>
        </is>
      </c>
      <c r="B16" s="53" t="inlineStr">
        <is>
          <t>Exercise</t>
        </is>
      </c>
      <c r="C16" s="53" t="inlineStr">
        <is>
          <t>Type</t>
        </is>
      </c>
      <c r="D16" s="53" t="inlineStr">
        <is>
          <t>Sets</t>
        </is>
      </c>
      <c r="E16" s="53" t="inlineStr">
        <is>
          <t>Reps</t>
        </is>
      </c>
      <c r="F16" s="53" t="inlineStr">
        <is>
          <t>% TM</t>
        </is>
      </c>
      <c r="G16" s="53" t="inlineStr">
        <is>
          <t>Prescribed Weight</t>
        </is>
      </c>
      <c r="H16" s="53" t="inlineStr">
        <is>
          <t>Target RPE</t>
        </is>
      </c>
      <c r="I16" s="53" t="inlineStr">
        <is>
          <t>Prescription Notes</t>
        </is>
      </c>
      <c r="J16" s="53" t="inlineStr">
        <is>
          <t>Actual Weight</t>
        </is>
      </c>
      <c r="K16" s="53" t="inlineStr">
        <is>
          <t>Actual Reps</t>
        </is>
      </c>
      <c r="L16" s="53" t="inlineStr">
        <is>
          <t>Done?</t>
        </is>
      </c>
    </row>
    <row r="17" ht="20" customHeight="1">
      <c r="A17" s="31" t="n">
        <v>1</v>
      </c>
      <c r="B17" s="32" t="inlineStr">
        <is>
          <t>Bench press</t>
        </is>
      </c>
      <c r="C17" s="54" t="inlineStr">
        <is>
          <t>MAIN</t>
        </is>
      </c>
      <c r="D17" s="27" t="n">
        <v>4</v>
      </c>
      <c r="E17" s="27" t="inlineStr">
        <is>
          <t>4</t>
        </is>
      </c>
      <c r="F17" s="34" t="n">
        <v>0.7</v>
      </c>
      <c r="G17" s="35">
        <f>ROUND('Setup &amp; Dashboard'!$E$8*0.7/5, 0)*5</f>
        <v/>
      </c>
      <c r="H17" s="27" t="inlineStr">
        <is>
          <t>RPE 7</t>
        </is>
      </c>
      <c r="I17" s="36" t="inlineStr"/>
      <c r="J17" s="12" t="inlineStr"/>
      <c r="K17" s="8" t="inlineStr"/>
      <c r="L17" s="12" t="inlineStr"/>
    </row>
    <row r="18" ht="20" customHeight="1">
      <c r="A18" s="31" t="n">
        <v>2</v>
      </c>
      <c r="B18" s="30" t="inlineStr">
        <is>
          <t>Close-grip bench</t>
        </is>
      </c>
      <c r="C18" s="55" t="inlineStr">
        <is>
          <t>Acc</t>
        </is>
      </c>
      <c r="D18" s="29" t="n">
        <v>3</v>
      </c>
      <c r="E18" s="29" t="inlineStr">
        <is>
          <t>6</t>
        </is>
      </c>
      <c r="F18" s="29" t="inlineStr"/>
      <c r="G18" s="29" t="inlineStr"/>
      <c r="H18" s="27" t="inlineStr">
        <is>
          <t>RPE 7</t>
        </is>
      </c>
      <c r="I18" s="36" t="inlineStr"/>
      <c r="J18" s="12" t="inlineStr"/>
      <c r="K18" s="8" t="inlineStr"/>
      <c r="L18" s="12" t="inlineStr"/>
    </row>
    <row r="19" ht="20" customHeight="1">
      <c r="A19" s="40" t="n">
        <v>3</v>
      </c>
      <c r="B19" s="30" t="inlineStr">
        <is>
          <t>Incline DB press</t>
        </is>
      </c>
      <c r="C19" s="55" t="inlineStr">
        <is>
          <t>Acc</t>
        </is>
      </c>
      <c r="D19" s="38" t="n">
        <v>3</v>
      </c>
      <c r="E19" s="38" t="inlineStr">
        <is>
          <t>12</t>
        </is>
      </c>
      <c r="F19" s="38" t="inlineStr"/>
      <c r="G19" s="29" t="inlineStr"/>
      <c r="H19" s="40" t="inlineStr"/>
      <c r="I19" s="36" t="inlineStr"/>
      <c r="J19" s="12" t="inlineStr"/>
      <c r="K19" s="8" t="inlineStr"/>
      <c r="L19" s="12" t="inlineStr"/>
    </row>
    <row r="20" ht="20" customHeight="1">
      <c r="A20" s="31" t="n">
        <v>4</v>
      </c>
      <c r="B20" s="30" t="inlineStr">
        <is>
          <t>Triceps pressdown</t>
        </is>
      </c>
      <c r="C20" s="55" t="inlineStr">
        <is>
          <t>Acc</t>
        </is>
      </c>
      <c r="D20" s="29" t="n">
        <v>3</v>
      </c>
      <c r="E20" s="29" t="inlineStr">
        <is>
          <t>12</t>
        </is>
      </c>
      <c r="F20" s="29" t="inlineStr"/>
      <c r="G20" s="29" t="inlineStr"/>
      <c r="H20" s="31" t="inlineStr"/>
      <c r="I20" s="36" t="inlineStr"/>
      <c r="J20" s="12" t="inlineStr"/>
      <c r="K20" s="8" t="inlineStr"/>
      <c r="L20" s="12" t="inlineStr"/>
    </row>
    <row r="21" ht="20" customHeight="1">
      <c r="A21" s="40" t="n">
        <v>5</v>
      </c>
      <c r="B21" s="30" t="inlineStr">
        <is>
          <t>Face pull</t>
        </is>
      </c>
      <c r="C21" s="55" t="inlineStr">
        <is>
          <t>Acc</t>
        </is>
      </c>
      <c r="D21" s="38" t="n">
        <v>3</v>
      </c>
      <c r="E21" s="38" t="inlineStr">
        <is>
          <t>15</t>
        </is>
      </c>
      <c r="F21" s="38" t="inlineStr"/>
      <c r="G21" s="29" t="inlineStr"/>
      <c r="H21" s="40" t="inlineStr"/>
      <c r="I21" s="36" t="inlineStr"/>
      <c r="J21" s="12" t="inlineStr"/>
      <c r="K21" s="8" t="inlineStr"/>
      <c r="L21" s="12" t="inlineStr"/>
    </row>
    <row r="22"/>
    <row r="23" ht="22" customHeight="1">
      <c r="A23" s="51" t="inlineStr">
        <is>
          <t>Day 3 : Thursday — Deadlift</t>
        </is>
      </c>
    </row>
    <row r="24" ht="80" customHeight="1">
      <c r="A24" s="52" t="inlineStr">
        <is>
          <t>💡 Coaching Rationale: Deliberately the lightest relative-intensity day of the week (68% TM) because deadlift is the most fatigue-expensive lift you do — a 'moderate' deadlift session costs more recovery than a moderate squat or bench session. Paused deadlift and farmer's carries add extra pulling volume without loading the bar as heavy as the main lift, which is how you build deadlift work capacity without digging a hole this early.</t>
        </is>
      </c>
    </row>
    <row r="25" ht="22" customHeight="1">
      <c r="A25" s="53" t="inlineStr">
        <is>
          <t>#</t>
        </is>
      </c>
      <c r="B25" s="53" t="inlineStr">
        <is>
          <t>Exercise</t>
        </is>
      </c>
      <c r="C25" s="53" t="inlineStr">
        <is>
          <t>Type</t>
        </is>
      </c>
      <c r="D25" s="53" t="inlineStr">
        <is>
          <t>Sets</t>
        </is>
      </c>
      <c r="E25" s="53" t="inlineStr">
        <is>
          <t>Reps</t>
        </is>
      </c>
      <c r="F25" s="53" t="inlineStr">
        <is>
          <t>% TM</t>
        </is>
      </c>
      <c r="G25" s="53" t="inlineStr">
        <is>
          <t>Prescribed Weight</t>
        </is>
      </c>
      <c r="H25" s="53" t="inlineStr">
        <is>
          <t>Target RPE</t>
        </is>
      </c>
      <c r="I25" s="53" t="inlineStr">
        <is>
          <t>Prescription Notes</t>
        </is>
      </c>
      <c r="J25" s="53" t="inlineStr">
        <is>
          <t>Actual Weight</t>
        </is>
      </c>
      <c r="K25" s="53" t="inlineStr">
        <is>
          <t>Actual Reps</t>
        </is>
      </c>
      <c r="L25" s="53" t="inlineStr">
        <is>
          <t>Done?</t>
        </is>
      </c>
    </row>
    <row r="26" ht="20" customHeight="1">
      <c r="A26" s="31" t="n">
        <v>1</v>
      </c>
      <c r="B26" s="32" t="inlineStr">
        <is>
          <t>Deadlift</t>
        </is>
      </c>
      <c r="C26" s="54" t="inlineStr">
        <is>
          <t>MAIN</t>
        </is>
      </c>
      <c r="D26" s="27" t="n">
        <v>3</v>
      </c>
      <c r="E26" s="27" t="inlineStr">
        <is>
          <t>4</t>
        </is>
      </c>
      <c r="F26" s="34" t="n">
        <v>0.68</v>
      </c>
      <c r="G26" s="35">
        <f>ROUND('Setup &amp; Dashboard'!$E$9*0.68/5, 0)*5</f>
        <v/>
      </c>
      <c r="H26" s="27" t="inlineStr">
        <is>
          <t>RPE 7</t>
        </is>
      </c>
      <c r="I26" s="36" t="inlineStr"/>
      <c r="J26" s="12" t="inlineStr"/>
      <c r="K26" s="8" t="inlineStr"/>
      <c r="L26" s="12" t="inlineStr"/>
    </row>
    <row r="27" ht="20" customHeight="1">
      <c r="A27" s="40" t="n">
        <v>2</v>
      </c>
      <c r="B27" s="30" t="inlineStr">
        <is>
          <t>Paused deadlift (mid-shin)</t>
        </is>
      </c>
      <c r="C27" s="55" t="inlineStr">
        <is>
          <t>Acc</t>
        </is>
      </c>
      <c r="D27" s="38" t="n">
        <v>2</v>
      </c>
      <c r="E27" s="38" t="inlineStr">
        <is>
          <t>3</t>
        </is>
      </c>
      <c r="F27" s="41" t="n">
        <v>0.55</v>
      </c>
      <c r="G27" s="35">
        <f>ROUND('Setup &amp; Dashboard'!$E$9*0.55/5, 0)*5</f>
        <v/>
      </c>
      <c r="H27" s="40" t="inlineStr"/>
      <c r="I27" s="36" t="inlineStr"/>
      <c r="J27" s="12" t="inlineStr"/>
      <c r="K27" s="8" t="inlineStr"/>
      <c r="L27" s="12" t="inlineStr"/>
    </row>
    <row r="28" ht="20" customHeight="1">
      <c r="A28" s="31" t="n">
        <v>3</v>
      </c>
      <c r="B28" s="30" t="inlineStr">
        <is>
          <t>Farmer's carry</t>
        </is>
      </c>
      <c r="C28" s="55" t="inlineStr">
        <is>
          <t>Acc</t>
        </is>
      </c>
      <c r="D28" s="29" t="n">
        <v>3</v>
      </c>
      <c r="E28" s="29" t="inlineStr">
        <is>
          <t>30-40m</t>
        </is>
      </c>
      <c r="F28" s="29" t="inlineStr"/>
      <c r="G28" s="29" t="inlineStr"/>
      <c r="H28" s="31" t="inlineStr"/>
      <c r="I28" s="36" t="inlineStr"/>
      <c r="J28" s="12" t="inlineStr"/>
      <c r="K28" s="8" t="inlineStr"/>
      <c r="L28" s="12" t="inlineStr"/>
    </row>
    <row r="29" ht="20" customHeight="1">
      <c r="A29" s="40" t="n">
        <v>4</v>
      </c>
      <c r="B29" s="30" t="inlineStr">
        <is>
          <t>Reverse hyper</t>
        </is>
      </c>
      <c r="C29" s="55" t="inlineStr">
        <is>
          <t>Acc</t>
        </is>
      </c>
      <c r="D29" s="38" t="n">
        <v>2</v>
      </c>
      <c r="E29" s="38" t="inlineStr">
        <is>
          <t>15</t>
        </is>
      </c>
      <c r="F29" s="38" t="inlineStr"/>
      <c r="G29" s="29" t="inlineStr"/>
      <c r="H29" s="40" t="inlineStr"/>
      <c r="I29" s="36" t="inlineStr"/>
      <c r="J29" s="12" t="inlineStr"/>
      <c r="K29" s="8" t="inlineStr"/>
      <c r="L29" s="12" t="inlineStr"/>
    </row>
    <row r="30" ht="20" customHeight="1">
      <c r="A30" s="31" t="n">
        <v>5</v>
      </c>
      <c r="B30" s="30" t="inlineStr">
        <is>
          <t>Jefferson curl</t>
        </is>
      </c>
      <c r="C30" s="55" t="inlineStr">
        <is>
          <t>Acc</t>
        </is>
      </c>
      <c r="D30" s="29" t="n">
        <v>2</v>
      </c>
      <c r="E30" s="29" t="inlineStr">
        <is>
          <t>8</t>
        </is>
      </c>
      <c r="F30" s="29" t="inlineStr"/>
      <c r="G30" s="29" t="inlineStr"/>
      <c r="H30" s="31" t="inlineStr"/>
      <c r="I30" s="36" t="inlineStr"/>
      <c r="J30" s="12" t="inlineStr"/>
      <c r="K30" s="8" t="inlineStr"/>
      <c r="L30" s="12" t="inlineStr"/>
    </row>
    <row r="31"/>
    <row r="32" ht="22" customHeight="1">
      <c r="A32" s="51" t="inlineStr">
        <is>
          <t>Day 4 : Friday — Bench variant / upper body</t>
        </is>
      </c>
    </row>
    <row r="33" ht="64" customHeight="1">
      <c r="A33" s="52" t="inlineStr">
        <is>
          <t>💡 Coaching Rationale: This is a bench frequency day, not a second heavy bench day — the 3-1-1 tempo at 65% keeps intensity low while reinforcing bar path and control. The real work here is the back: rows and pulldowns build the upper-back tightness that stabilizes heavy bench press later, and this is the best week to start that development, before fatigue accumulates.</t>
        </is>
      </c>
    </row>
    <row r="34" ht="22" customHeight="1">
      <c r="A34" s="53" t="inlineStr">
        <is>
          <t>#</t>
        </is>
      </c>
      <c r="B34" s="53" t="inlineStr">
        <is>
          <t>Exercise</t>
        </is>
      </c>
      <c r="C34" s="53" t="inlineStr">
        <is>
          <t>Type</t>
        </is>
      </c>
      <c r="D34" s="53" t="inlineStr">
        <is>
          <t>Sets</t>
        </is>
      </c>
      <c r="E34" s="53" t="inlineStr">
        <is>
          <t>Reps</t>
        </is>
      </c>
      <c r="F34" s="53" t="inlineStr">
        <is>
          <t>% TM</t>
        </is>
      </c>
      <c r="G34" s="53" t="inlineStr">
        <is>
          <t>Prescribed Weight</t>
        </is>
      </c>
      <c r="H34" s="53" t="inlineStr">
        <is>
          <t>Target RPE</t>
        </is>
      </c>
      <c r="I34" s="53" t="inlineStr">
        <is>
          <t>Prescription Notes</t>
        </is>
      </c>
      <c r="J34" s="53" t="inlineStr">
        <is>
          <t>Actual Weight</t>
        </is>
      </c>
      <c r="K34" s="53" t="inlineStr">
        <is>
          <t>Actual Reps</t>
        </is>
      </c>
      <c r="L34" s="53" t="inlineStr">
        <is>
          <t>Done?</t>
        </is>
      </c>
    </row>
    <row r="35" ht="20" customHeight="1">
      <c r="A35" s="31" t="n">
        <v>1</v>
      </c>
      <c r="B35" s="32" t="inlineStr">
        <is>
          <t>Tempo bench (3-1-1)</t>
        </is>
      </c>
      <c r="C35" s="54" t="inlineStr">
        <is>
          <t>MAIN</t>
        </is>
      </c>
      <c r="D35" s="27" t="n">
        <v>4</v>
      </c>
      <c r="E35" s="27" t="inlineStr">
        <is>
          <t>4</t>
        </is>
      </c>
      <c r="F35" s="34" t="n">
        <v>0.65</v>
      </c>
      <c r="G35" s="35">
        <f>ROUND('Setup &amp; Dashboard'!$E$8*0.65/5, 0)*5</f>
        <v/>
      </c>
      <c r="H35" s="27" t="inlineStr">
        <is>
          <t>RPE 6-7</t>
        </is>
      </c>
      <c r="I35" s="36" t="inlineStr"/>
      <c r="J35" s="12" t="inlineStr"/>
      <c r="K35" s="8" t="inlineStr"/>
      <c r="L35" s="12" t="inlineStr"/>
    </row>
    <row r="36" ht="20" customHeight="1">
      <c r="A36" s="31" t="n">
        <v>2</v>
      </c>
      <c r="B36" s="30" t="inlineStr">
        <is>
          <t>Chest-supported row</t>
        </is>
      </c>
      <c r="C36" s="55" t="inlineStr">
        <is>
          <t>Acc</t>
        </is>
      </c>
      <c r="D36" s="29" t="n">
        <v>4</v>
      </c>
      <c r="E36" s="29" t="inlineStr">
        <is>
          <t>10</t>
        </is>
      </c>
      <c r="F36" s="29" t="inlineStr"/>
      <c r="G36" s="29" t="inlineStr"/>
      <c r="H36" s="31" t="inlineStr"/>
      <c r="I36" s="36" t="inlineStr"/>
      <c r="J36" s="12" t="inlineStr"/>
      <c r="K36" s="8" t="inlineStr"/>
      <c r="L36" s="12" t="inlineStr"/>
    </row>
    <row r="37" ht="20" customHeight="1">
      <c r="A37" s="40" t="n">
        <v>3</v>
      </c>
      <c r="B37" s="30" t="inlineStr">
        <is>
          <t>Lat pulldown</t>
        </is>
      </c>
      <c r="C37" s="55" t="inlineStr">
        <is>
          <t>Acc</t>
        </is>
      </c>
      <c r="D37" s="38" t="n">
        <v>3</v>
      </c>
      <c r="E37" s="38" t="inlineStr">
        <is>
          <t>12</t>
        </is>
      </c>
      <c r="F37" s="38" t="inlineStr"/>
      <c r="G37" s="29" t="inlineStr"/>
      <c r="H37" s="40" t="inlineStr"/>
      <c r="I37" s="36" t="inlineStr"/>
      <c r="J37" s="12" t="inlineStr"/>
      <c r="K37" s="8" t="inlineStr"/>
      <c r="L37" s="12" t="inlineStr"/>
    </row>
    <row r="38" ht="20" customHeight="1">
      <c r="A38" s="31" t="n">
        <v>4</v>
      </c>
      <c r="B38" s="30" t="inlineStr">
        <is>
          <t>Lateral raise</t>
        </is>
      </c>
      <c r="C38" s="55" t="inlineStr">
        <is>
          <t>Acc</t>
        </is>
      </c>
      <c r="D38" s="29" t="n">
        <v>3</v>
      </c>
      <c r="E38" s="29" t="inlineStr">
        <is>
          <t>15</t>
        </is>
      </c>
      <c r="F38" s="29" t="inlineStr"/>
      <c r="G38" s="29" t="inlineStr"/>
      <c r="H38" s="31" t="inlineStr"/>
      <c r="I38" s="36" t="inlineStr"/>
      <c r="J38" s="12" t="inlineStr"/>
      <c r="K38" s="8" t="inlineStr"/>
      <c r="L38" s="12" t="inlineStr"/>
    </row>
    <row r="39" ht="20" customHeight="1">
      <c r="A39" s="40" t="n">
        <v>5</v>
      </c>
      <c r="B39" s="30" t="inlineStr">
        <is>
          <t>Curl</t>
        </is>
      </c>
      <c r="C39" s="55" t="inlineStr">
        <is>
          <t>Acc</t>
        </is>
      </c>
      <c r="D39" s="38" t="n">
        <v>3</v>
      </c>
      <c r="E39" s="38" t="inlineStr">
        <is>
          <t>12</t>
        </is>
      </c>
      <c r="F39" s="38" t="inlineStr"/>
      <c r="G39" s="29" t="inlineStr"/>
      <c r="H39" s="40" t="inlineStr"/>
      <c r="I39" s="36" t="inlineStr"/>
      <c r="J39" s="12" t="inlineStr"/>
      <c r="K39" s="8" t="inlineStr"/>
      <c r="L39" s="12" t="inlineStr"/>
    </row>
    <row r="40" ht="20" customHeight="1">
      <c r="A40" s="31" t="n">
        <v>6</v>
      </c>
      <c r="B40" s="30" t="inlineStr">
        <is>
          <t>Pallof press</t>
        </is>
      </c>
      <c r="C40" s="55" t="inlineStr">
        <is>
          <t>Acc</t>
        </is>
      </c>
      <c r="D40" s="29" t="n">
        <v>3</v>
      </c>
      <c r="E40" s="29" t="inlineStr">
        <is>
          <t>10/side</t>
        </is>
      </c>
      <c r="F40" s="29" t="inlineStr"/>
      <c r="G40" s="29" t="inlineStr"/>
      <c r="H40" s="31" t="inlineStr"/>
      <c r="I40" s="36" t="inlineStr"/>
      <c r="J40" s="12" t="inlineStr"/>
      <c r="K40" s="8" t="inlineStr"/>
      <c r="L40" s="12" t="inlineStr"/>
    </row>
    <row r="41"/>
    <row r="42" ht="22" customHeight="1">
      <c r="A42" s="51" t="inlineStr">
        <is>
          <t>Day 5 : Saturday — Squat variant + Rack Pull</t>
        </is>
      </c>
    </row>
    <row r="43" ht="64" customHeight="1">
      <c r="A43" s="52" t="inlineStr">
        <is>
          <t>💡 Coaching Rationale: Paused squat adds positional strength work for the bottom of the squat. The rack pull test (working up to a clean RPE 8 top set) exists to establish your actual starting point for rack pull TM — everything for the next 12 weeks on that lift is calibrated off today's number, so treat it seriously but don't grind past RPE 8.</t>
        </is>
      </c>
    </row>
    <row r="44" ht="22" customHeight="1">
      <c r="A44" s="53" t="inlineStr">
        <is>
          <t>#</t>
        </is>
      </c>
      <c r="B44" s="53" t="inlineStr">
        <is>
          <t>Exercise</t>
        </is>
      </c>
      <c r="C44" s="53" t="inlineStr">
        <is>
          <t>Type</t>
        </is>
      </c>
      <c r="D44" s="53" t="inlineStr">
        <is>
          <t>Sets</t>
        </is>
      </c>
      <c r="E44" s="53" t="inlineStr">
        <is>
          <t>Reps</t>
        </is>
      </c>
      <c r="F44" s="53" t="inlineStr">
        <is>
          <t>% TM</t>
        </is>
      </c>
      <c r="G44" s="53" t="inlineStr">
        <is>
          <t>Prescribed Weight</t>
        </is>
      </c>
      <c r="H44" s="53" t="inlineStr">
        <is>
          <t>Target RPE</t>
        </is>
      </c>
      <c r="I44" s="53" t="inlineStr">
        <is>
          <t>Prescription Notes</t>
        </is>
      </c>
      <c r="J44" s="53" t="inlineStr">
        <is>
          <t>Actual Weight</t>
        </is>
      </c>
      <c r="K44" s="53" t="inlineStr">
        <is>
          <t>Actual Reps</t>
        </is>
      </c>
      <c r="L44" s="53" t="inlineStr">
        <is>
          <t>Done?</t>
        </is>
      </c>
    </row>
    <row r="45" ht="20" customHeight="1">
      <c r="A45" s="31" t="n">
        <v>1</v>
      </c>
      <c r="B45" s="32" t="inlineStr">
        <is>
          <t>Paused squat</t>
        </is>
      </c>
      <c r="C45" s="54" t="inlineStr">
        <is>
          <t>MAIN</t>
        </is>
      </c>
      <c r="D45" s="27" t="n">
        <v>3</v>
      </c>
      <c r="E45" s="27" t="inlineStr">
        <is>
          <t>3</t>
        </is>
      </c>
      <c r="F45" s="34" t="n">
        <v>0.7</v>
      </c>
      <c r="G45" s="35">
        <f>ROUND('Setup &amp; Dashboard'!$E$7*0.7/5, 0)*5</f>
        <v/>
      </c>
      <c r="H45" s="27" t="inlineStr">
        <is>
          <t>RPE 7</t>
        </is>
      </c>
      <c r="I45" s="36" t="inlineStr"/>
      <c r="J45" s="12" t="inlineStr"/>
      <c r="K45" s="8" t="inlineStr"/>
      <c r="L45" s="12" t="inlineStr"/>
    </row>
    <row r="46" ht="20" customHeight="1">
      <c r="A46" s="31" t="n">
        <v>2</v>
      </c>
      <c r="B46" s="32" t="inlineStr">
        <is>
          <t>Rack pull baseline test</t>
        </is>
      </c>
      <c r="C46" s="54" t="inlineStr">
        <is>
          <t>MAIN</t>
        </is>
      </c>
      <c r="D46" s="27" t="n">
        <v>1</v>
      </c>
      <c r="E46" s="27" t="inlineStr">
        <is>
          <t>1</t>
        </is>
      </c>
      <c r="F46" s="27" t="inlineStr"/>
      <c r="G46" s="29" t="inlineStr"/>
      <c r="H46" s="31" t="inlineStr"/>
      <c r="I46" s="42" t="inlineStr">
        <is>
          <t>Bar x5, 40%x5, 55%x3, 70%x2, 80%x1, work up to clean top set @ RPE 8</t>
        </is>
      </c>
      <c r="J46" s="12" t="inlineStr"/>
      <c r="K46" s="8" t="inlineStr"/>
      <c r="L46" s="12" t="inlineStr"/>
    </row>
    <row r="47" ht="20" customHeight="1">
      <c r="A47" s="40" t="n">
        <v>3</v>
      </c>
      <c r="B47" s="30" t="inlineStr">
        <is>
          <t>Reverse hyper</t>
        </is>
      </c>
      <c r="C47" s="55" t="inlineStr">
        <is>
          <t>Acc</t>
        </is>
      </c>
      <c r="D47" s="38" t="n">
        <v>2</v>
      </c>
      <c r="E47" s="38" t="inlineStr">
        <is>
          <t>12</t>
        </is>
      </c>
      <c r="F47" s="38" t="inlineStr"/>
      <c r="G47" s="29" t="inlineStr"/>
      <c r="H47" s="40" t="inlineStr"/>
      <c r="I47" s="36" t="inlineStr"/>
      <c r="J47" s="12" t="inlineStr"/>
      <c r="K47" s="8" t="inlineStr"/>
      <c r="L47" s="12" t="inlineStr"/>
    </row>
    <row r="48" ht="20" customHeight="1">
      <c r="A48" s="31" t="n">
        <v>4</v>
      </c>
      <c r="B48" s="30" t="inlineStr">
        <is>
          <t>GHR or Nordic curl</t>
        </is>
      </c>
      <c r="C48" s="55" t="inlineStr">
        <is>
          <t>Acc</t>
        </is>
      </c>
      <c r="D48" s="29" t="n">
        <v>3</v>
      </c>
      <c r="E48" s="29" t="inlineStr">
        <is>
          <t>8</t>
        </is>
      </c>
      <c r="F48" s="29" t="inlineStr"/>
      <c r="G48" s="29" t="inlineStr"/>
      <c r="H48" s="31" t="inlineStr"/>
      <c r="I48" s="36" t="inlineStr"/>
      <c r="J48" s="12" t="inlineStr"/>
      <c r="K48" s="8" t="inlineStr"/>
      <c r="L48" s="12" t="inlineStr"/>
    </row>
    <row r="49" ht="20" customHeight="1">
      <c r="A49" s="40" t="n">
        <v>5</v>
      </c>
      <c r="B49" s="30" t="inlineStr">
        <is>
          <t>Jefferson curl</t>
        </is>
      </c>
      <c r="C49" s="55" t="inlineStr">
        <is>
          <t>Acc</t>
        </is>
      </c>
      <c r="D49" s="38" t="n">
        <v>1</v>
      </c>
      <c r="E49" s="38" t="inlineStr">
        <is>
          <t>8</t>
        </is>
      </c>
      <c r="F49" s="38" t="inlineStr"/>
      <c r="G49" s="29" t="inlineStr"/>
      <c r="H49" s="40" t="inlineStr"/>
      <c r="I49" s="36" t="inlineStr"/>
      <c r="J49" s="12" t="inlineStr"/>
      <c r="K49" s="8" t="inlineStr"/>
      <c r="L49" s="12" t="inlineStr"/>
    </row>
    <row r="50"/>
    <row r="51"/>
    <row r="52" ht="26" customHeight="1">
      <c r="A52" s="50" t="inlineStr">
        <is>
          <t>WEEK 2 — ACCUMULATION</t>
        </is>
      </c>
    </row>
    <row r="53" ht="22" customHeight="1">
      <c r="A53" s="51" t="inlineStr">
        <is>
          <t>Day 1 : Monday — Squat</t>
        </is>
      </c>
    </row>
    <row r="54" ht="48" customHeight="1">
      <c r="A54" s="52" t="inlineStr">
        <is>
          <t>💡 Coaching Rationale: Same structure as Week 1, one set added (5x4) and intensity up 3% (73%). This is the standard accumulation progression — small, repeatable jumps that let you accumulate quality reps without a spike in fatigue.</t>
        </is>
      </c>
    </row>
    <row r="55" ht="22" customHeight="1">
      <c r="A55" s="53" t="inlineStr">
        <is>
          <t>#</t>
        </is>
      </c>
      <c r="B55" s="53" t="inlineStr">
        <is>
          <t>Exercise</t>
        </is>
      </c>
      <c r="C55" s="53" t="inlineStr">
        <is>
          <t>Type</t>
        </is>
      </c>
      <c r="D55" s="53" t="inlineStr">
        <is>
          <t>Sets</t>
        </is>
      </c>
      <c r="E55" s="53" t="inlineStr">
        <is>
          <t>Reps</t>
        </is>
      </c>
      <c r="F55" s="53" t="inlineStr">
        <is>
          <t>% TM</t>
        </is>
      </c>
      <c r="G55" s="53" t="inlineStr">
        <is>
          <t>Prescribed Weight</t>
        </is>
      </c>
      <c r="H55" s="53" t="inlineStr">
        <is>
          <t>Target RPE</t>
        </is>
      </c>
      <c r="I55" s="53" t="inlineStr">
        <is>
          <t>Prescription Notes</t>
        </is>
      </c>
      <c r="J55" s="53" t="inlineStr">
        <is>
          <t>Actual Weight</t>
        </is>
      </c>
      <c r="K55" s="53" t="inlineStr">
        <is>
          <t>Actual Reps</t>
        </is>
      </c>
      <c r="L55" s="53" t="inlineStr">
        <is>
          <t>Done?</t>
        </is>
      </c>
    </row>
    <row r="56" ht="20" customHeight="1">
      <c r="A56" s="31" t="n">
        <v>1</v>
      </c>
      <c r="B56" s="32" t="inlineStr">
        <is>
          <t>Back squat</t>
        </is>
      </c>
      <c r="C56" s="54" t="inlineStr">
        <is>
          <t>MAIN</t>
        </is>
      </c>
      <c r="D56" s="27" t="n">
        <v>5</v>
      </c>
      <c r="E56" s="27" t="inlineStr">
        <is>
          <t>4</t>
        </is>
      </c>
      <c r="F56" s="34" t="n">
        <v>0.73</v>
      </c>
      <c r="G56" s="35">
        <f>ROUND('Setup &amp; Dashboard'!$E$7*0.73/5, 0)*5</f>
        <v/>
      </c>
      <c r="H56" s="27" t="inlineStr">
        <is>
          <t>RPE 7</t>
        </is>
      </c>
      <c r="I56" s="36" t="inlineStr"/>
      <c r="J56" s="12" t="inlineStr"/>
      <c r="K56" s="8" t="inlineStr"/>
      <c r="L56" s="12" t="inlineStr"/>
    </row>
    <row r="57" ht="20" customHeight="1">
      <c r="A57" s="40" t="n">
        <v>2</v>
      </c>
      <c r="B57" s="30" t="inlineStr">
        <is>
          <t>Bulgarian split squat</t>
        </is>
      </c>
      <c r="C57" s="55" t="inlineStr">
        <is>
          <t>Acc</t>
        </is>
      </c>
      <c r="D57" s="38" t="n">
        <v>3</v>
      </c>
      <c r="E57" s="38" t="inlineStr">
        <is>
          <t>10/leg</t>
        </is>
      </c>
      <c r="F57" s="38" t="inlineStr"/>
      <c r="G57" s="29" t="inlineStr"/>
      <c r="H57" s="40" t="inlineStr"/>
      <c r="I57" s="36" t="inlineStr"/>
      <c r="J57" s="12" t="inlineStr"/>
      <c r="K57" s="8" t="inlineStr"/>
      <c r="L57" s="12" t="inlineStr"/>
    </row>
    <row r="58" ht="20" customHeight="1">
      <c r="A58" s="31" t="n">
        <v>3</v>
      </c>
      <c r="B58" s="30" t="inlineStr">
        <is>
          <t>Leg curl</t>
        </is>
      </c>
      <c r="C58" s="55" t="inlineStr">
        <is>
          <t>Acc</t>
        </is>
      </c>
      <c r="D58" s="29" t="n">
        <v>3</v>
      </c>
      <c r="E58" s="29" t="inlineStr">
        <is>
          <t>12</t>
        </is>
      </c>
      <c r="F58" s="29" t="inlineStr"/>
      <c r="G58" s="29" t="inlineStr"/>
      <c r="H58" s="31" t="inlineStr"/>
      <c r="I58" s="36" t="inlineStr"/>
      <c r="J58" s="12" t="inlineStr"/>
      <c r="K58" s="8" t="inlineStr"/>
      <c r="L58" s="12" t="inlineStr"/>
    </row>
    <row r="59" ht="20" customHeight="1">
      <c r="A59" s="40" t="n">
        <v>4</v>
      </c>
      <c r="B59" s="30" t="inlineStr">
        <is>
          <t>Copenhagen plank</t>
        </is>
      </c>
      <c r="C59" s="55" t="inlineStr">
        <is>
          <t>Acc</t>
        </is>
      </c>
      <c r="D59" s="38" t="n">
        <v>3</v>
      </c>
      <c r="E59" s="38" t="inlineStr">
        <is>
          <t>20sec/side</t>
        </is>
      </c>
      <c r="F59" s="38" t="inlineStr"/>
      <c r="G59" s="29" t="inlineStr"/>
      <c r="H59" s="40" t="inlineStr"/>
      <c r="I59" s="36" t="inlineStr"/>
      <c r="J59" s="12" t="inlineStr"/>
      <c r="K59" s="8" t="inlineStr"/>
      <c r="L59" s="12" t="inlineStr"/>
    </row>
    <row r="60"/>
    <row r="61" ht="22" customHeight="1">
      <c r="A61" s="51" t="inlineStr">
        <is>
          <t>Day 2 : Tuesday — Bench</t>
        </is>
      </c>
    </row>
    <row r="62" ht="32" customHeight="1">
      <c r="A62" s="52" t="inlineStr">
        <is>
          <t>💡 Coaching Rationale: Same logic as Day 1 — one more set, 3% more load. You should still be finishing sets with 2-3 reps in reserve.</t>
        </is>
      </c>
    </row>
    <row r="63" ht="22" customHeight="1">
      <c r="A63" s="53" t="inlineStr">
        <is>
          <t>#</t>
        </is>
      </c>
      <c r="B63" s="53" t="inlineStr">
        <is>
          <t>Exercise</t>
        </is>
      </c>
      <c r="C63" s="53" t="inlineStr">
        <is>
          <t>Type</t>
        </is>
      </c>
      <c r="D63" s="53" t="inlineStr">
        <is>
          <t>Sets</t>
        </is>
      </c>
      <c r="E63" s="53" t="inlineStr">
        <is>
          <t>Reps</t>
        </is>
      </c>
      <c r="F63" s="53" t="inlineStr">
        <is>
          <t>% TM</t>
        </is>
      </c>
      <c r="G63" s="53" t="inlineStr">
        <is>
          <t>Prescribed Weight</t>
        </is>
      </c>
      <c r="H63" s="53" t="inlineStr">
        <is>
          <t>Target RPE</t>
        </is>
      </c>
      <c r="I63" s="53" t="inlineStr">
        <is>
          <t>Prescription Notes</t>
        </is>
      </c>
      <c r="J63" s="53" t="inlineStr">
        <is>
          <t>Actual Weight</t>
        </is>
      </c>
      <c r="K63" s="53" t="inlineStr">
        <is>
          <t>Actual Reps</t>
        </is>
      </c>
      <c r="L63" s="53" t="inlineStr">
        <is>
          <t>Done?</t>
        </is>
      </c>
    </row>
    <row r="64" ht="20" customHeight="1">
      <c r="A64" s="31" t="n">
        <v>1</v>
      </c>
      <c r="B64" s="32" t="inlineStr">
        <is>
          <t>Bench press</t>
        </is>
      </c>
      <c r="C64" s="54" t="inlineStr">
        <is>
          <t>MAIN</t>
        </is>
      </c>
      <c r="D64" s="27" t="n">
        <v>5</v>
      </c>
      <c r="E64" s="27" t="inlineStr">
        <is>
          <t>4</t>
        </is>
      </c>
      <c r="F64" s="34" t="n">
        <v>0.73</v>
      </c>
      <c r="G64" s="35">
        <f>ROUND('Setup &amp; Dashboard'!$E$8*0.73/5, 0)*5</f>
        <v/>
      </c>
      <c r="H64" s="27" t="inlineStr">
        <is>
          <t>RPE 7</t>
        </is>
      </c>
      <c r="I64" s="36" t="inlineStr"/>
      <c r="J64" s="12" t="inlineStr"/>
      <c r="K64" s="8" t="inlineStr"/>
      <c r="L64" s="12" t="inlineStr"/>
    </row>
    <row r="65" ht="20" customHeight="1">
      <c r="A65" s="40" t="n">
        <v>2</v>
      </c>
      <c r="B65" s="30" t="inlineStr">
        <is>
          <t>Close-grip bench</t>
        </is>
      </c>
      <c r="C65" s="55" t="inlineStr">
        <is>
          <t>Acc</t>
        </is>
      </c>
      <c r="D65" s="38" t="n">
        <v>3</v>
      </c>
      <c r="E65" s="38" t="inlineStr">
        <is>
          <t>6</t>
        </is>
      </c>
      <c r="F65" s="38" t="inlineStr"/>
      <c r="G65" s="29" t="inlineStr"/>
      <c r="H65" s="40" t="inlineStr"/>
      <c r="I65" s="36" t="inlineStr"/>
      <c r="J65" s="12" t="inlineStr"/>
      <c r="K65" s="8" t="inlineStr"/>
      <c r="L65" s="12" t="inlineStr"/>
    </row>
    <row r="66" ht="20" customHeight="1">
      <c r="A66" s="31" t="n">
        <v>3</v>
      </c>
      <c r="B66" s="30" t="inlineStr">
        <is>
          <t>Incline DB press</t>
        </is>
      </c>
      <c r="C66" s="55" t="inlineStr">
        <is>
          <t>Acc</t>
        </is>
      </c>
      <c r="D66" s="29" t="n">
        <v>3</v>
      </c>
      <c r="E66" s="29" t="inlineStr">
        <is>
          <t>12</t>
        </is>
      </c>
      <c r="F66" s="29" t="inlineStr"/>
      <c r="G66" s="29" t="inlineStr"/>
      <c r="H66" s="31" t="inlineStr"/>
      <c r="I66" s="36" t="inlineStr"/>
      <c r="J66" s="12" t="inlineStr"/>
      <c r="K66" s="8" t="inlineStr"/>
      <c r="L66" s="12" t="inlineStr"/>
    </row>
    <row r="67" ht="20" customHeight="1">
      <c r="A67" s="40" t="n">
        <v>4</v>
      </c>
      <c r="B67" s="30" t="inlineStr">
        <is>
          <t>Triceps pressdown</t>
        </is>
      </c>
      <c r="C67" s="55" t="inlineStr">
        <is>
          <t>Acc</t>
        </is>
      </c>
      <c r="D67" s="38" t="n">
        <v>3</v>
      </c>
      <c r="E67" s="38" t="inlineStr">
        <is>
          <t>12</t>
        </is>
      </c>
      <c r="F67" s="38" t="inlineStr"/>
      <c r="G67" s="29" t="inlineStr"/>
      <c r="H67" s="40" t="inlineStr"/>
      <c r="I67" s="36" t="inlineStr"/>
      <c r="J67" s="12" t="inlineStr"/>
      <c r="K67" s="8" t="inlineStr"/>
      <c r="L67" s="12" t="inlineStr"/>
    </row>
    <row r="68" ht="20" customHeight="1">
      <c r="A68" s="31" t="n">
        <v>5</v>
      </c>
      <c r="B68" s="30" t="inlineStr">
        <is>
          <t>Face pull</t>
        </is>
      </c>
      <c r="C68" s="55" t="inlineStr">
        <is>
          <t>Acc</t>
        </is>
      </c>
      <c r="D68" s="29" t="n">
        <v>3</v>
      </c>
      <c r="E68" s="29" t="inlineStr">
        <is>
          <t>15</t>
        </is>
      </c>
      <c r="F68" s="29" t="inlineStr"/>
      <c r="G68" s="29" t="inlineStr"/>
      <c r="H68" s="31" t="inlineStr"/>
      <c r="I68" s="36" t="inlineStr"/>
      <c r="J68" s="12" t="inlineStr"/>
      <c r="K68" s="8" t="inlineStr"/>
      <c r="L68" s="12" t="inlineStr"/>
    </row>
    <row r="69"/>
    <row r="70" ht="22" customHeight="1">
      <c r="A70" s="51" t="inlineStr">
        <is>
          <t>Day 3 : Thursday — Deadlift</t>
        </is>
      </c>
    </row>
    <row r="71" ht="48" customHeight="1">
      <c r="A71" s="52" t="inlineStr">
        <is>
          <t>💡 Coaching Rationale: Load moves to 72%, still 3 sets — deadlift is the one lift that doesn't get a set added here, because the fatigue cost per set is steep enough that stacking volume too fast is how deadlift-specific overreach happens. Paused deadlift intensity ticks up slightly to keep pace.</t>
        </is>
      </c>
    </row>
    <row r="72" ht="22" customHeight="1">
      <c r="A72" s="53" t="inlineStr">
        <is>
          <t>#</t>
        </is>
      </c>
      <c r="B72" s="53" t="inlineStr">
        <is>
          <t>Exercise</t>
        </is>
      </c>
      <c r="C72" s="53" t="inlineStr">
        <is>
          <t>Type</t>
        </is>
      </c>
      <c r="D72" s="53" t="inlineStr">
        <is>
          <t>Sets</t>
        </is>
      </c>
      <c r="E72" s="53" t="inlineStr">
        <is>
          <t>Reps</t>
        </is>
      </c>
      <c r="F72" s="53" t="inlineStr">
        <is>
          <t>% TM</t>
        </is>
      </c>
      <c r="G72" s="53" t="inlineStr">
        <is>
          <t>Prescribed Weight</t>
        </is>
      </c>
      <c r="H72" s="53" t="inlineStr">
        <is>
          <t>Target RPE</t>
        </is>
      </c>
      <c r="I72" s="53" t="inlineStr">
        <is>
          <t>Prescription Notes</t>
        </is>
      </c>
      <c r="J72" s="53" t="inlineStr">
        <is>
          <t>Actual Weight</t>
        </is>
      </c>
      <c r="K72" s="53" t="inlineStr">
        <is>
          <t>Actual Reps</t>
        </is>
      </c>
      <c r="L72" s="53" t="inlineStr">
        <is>
          <t>Done?</t>
        </is>
      </c>
    </row>
    <row r="73" ht="20" customHeight="1">
      <c r="A73" s="31" t="n">
        <v>1</v>
      </c>
      <c r="B73" s="32" t="inlineStr">
        <is>
          <t>Deadlift</t>
        </is>
      </c>
      <c r="C73" s="54" t="inlineStr">
        <is>
          <t>MAIN</t>
        </is>
      </c>
      <c r="D73" s="27" t="n">
        <v>3</v>
      </c>
      <c r="E73" s="27" t="inlineStr">
        <is>
          <t>4</t>
        </is>
      </c>
      <c r="F73" s="34" t="n">
        <v>0.72</v>
      </c>
      <c r="G73" s="35">
        <f>ROUND('Setup &amp; Dashboard'!$E$9*0.72/5, 0)*5</f>
        <v/>
      </c>
      <c r="H73" s="27" t="inlineStr">
        <is>
          <t>RPE 7</t>
        </is>
      </c>
      <c r="I73" s="36" t="inlineStr"/>
      <c r="J73" s="12" t="inlineStr"/>
      <c r="K73" s="8" t="inlineStr"/>
      <c r="L73" s="12" t="inlineStr"/>
    </row>
    <row r="74" ht="20" customHeight="1">
      <c r="A74" s="31" t="n">
        <v>2</v>
      </c>
      <c r="B74" s="30" t="inlineStr">
        <is>
          <t>Paused deadlift</t>
        </is>
      </c>
      <c r="C74" s="55" t="inlineStr">
        <is>
          <t>Acc</t>
        </is>
      </c>
      <c r="D74" s="29" t="n">
        <v>2</v>
      </c>
      <c r="E74" s="29" t="inlineStr">
        <is>
          <t>3</t>
        </is>
      </c>
      <c r="F74" s="43" t="n">
        <v>0.58</v>
      </c>
      <c r="G74" s="35">
        <f>ROUND('Setup &amp; Dashboard'!$E$9*0.58/5, 0)*5</f>
        <v/>
      </c>
      <c r="H74" s="31" t="inlineStr"/>
      <c r="I74" s="36" t="inlineStr"/>
      <c r="J74" s="12" t="inlineStr"/>
      <c r="K74" s="8" t="inlineStr"/>
      <c r="L74" s="12" t="inlineStr"/>
    </row>
    <row r="75" ht="20" customHeight="1">
      <c r="A75" s="40" t="n">
        <v>3</v>
      </c>
      <c r="B75" s="30" t="inlineStr">
        <is>
          <t>Farmer's carry</t>
        </is>
      </c>
      <c r="C75" s="55" t="inlineStr">
        <is>
          <t>Acc</t>
        </is>
      </c>
      <c r="D75" s="38" t="n">
        <v>3</v>
      </c>
      <c r="E75" s="38" t="inlineStr">
        <is>
          <t>30-40m</t>
        </is>
      </c>
      <c r="F75" s="38" t="inlineStr"/>
      <c r="G75" s="29" t="inlineStr"/>
      <c r="H75" s="40" t="inlineStr"/>
      <c r="I75" s="36" t="inlineStr"/>
      <c r="J75" s="12" t="inlineStr"/>
      <c r="K75" s="8" t="inlineStr"/>
      <c r="L75" s="12" t="inlineStr"/>
    </row>
    <row r="76" ht="20" customHeight="1">
      <c r="A76" s="31" t="n">
        <v>4</v>
      </c>
      <c r="B76" s="30" t="inlineStr">
        <is>
          <t>Reverse hyper</t>
        </is>
      </c>
      <c r="C76" s="55" t="inlineStr">
        <is>
          <t>Acc</t>
        </is>
      </c>
      <c r="D76" s="29" t="n">
        <v>2</v>
      </c>
      <c r="E76" s="29" t="inlineStr">
        <is>
          <t>15</t>
        </is>
      </c>
      <c r="F76" s="29" t="inlineStr"/>
      <c r="G76" s="29" t="inlineStr"/>
      <c r="H76" s="31" t="inlineStr"/>
      <c r="I76" s="36" t="inlineStr"/>
      <c r="J76" s="12" t="inlineStr"/>
      <c r="K76" s="8" t="inlineStr"/>
      <c r="L76" s="12" t="inlineStr"/>
    </row>
    <row r="77" ht="20" customHeight="1">
      <c r="A77" s="40" t="n">
        <v>5</v>
      </c>
      <c r="B77" s="30" t="inlineStr">
        <is>
          <t>Jefferson curl</t>
        </is>
      </c>
      <c r="C77" s="55" t="inlineStr">
        <is>
          <t>Acc</t>
        </is>
      </c>
      <c r="D77" s="38" t="n">
        <v>2</v>
      </c>
      <c r="E77" s="38" t="inlineStr">
        <is>
          <t>8</t>
        </is>
      </c>
      <c r="F77" s="38" t="inlineStr"/>
      <c r="G77" s="29" t="inlineStr"/>
      <c r="H77" s="40" t="inlineStr"/>
      <c r="I77" s="36" t="inlineStr"/>
      <c r="J77" s="12" t="inlineStr"/>
      <c r="K77" s="8" t="inlineStr"/>
      <c r="L77" s="12" t="inlineStr"/>
    </row>
    <row r="78"/>
    <row r="79" ht="22" customHeight="1">
      <c r="A79" s="51" t="inlineStr">
        <is>
          <t>Day 4 : Friday — Bench variant / upper body</t>
        </is>
      </c>
    </row>
    <row r="80" ht="48" customHeight="1">
      <c r="A80" s="52" t="inlineStr">
        <is>
          <t>💡 Coaching Rationale: Paused bench replaces tempo bench as the frequency movement — it's a different stimulus (dead-stop strength off the chest) at the same intensity, which keeps this day from getting stale while still serving as a lower-stress second bench touch.</t>
        </is>
      </c>
    </row>
    <row r="81" ht="22" customHeight="1">
      <c r="A81" s="53" t="inlineStr">
        <is>
          <t>#</t>
        </is>
      </c>
      <c r="B81" s="53" t="inlineStr">
        <is>
          <t>Exercise</t>
        </is>
      </c>
      <c r="C81" s="53" t="inlineStr">
        <is>
          <t>Type</t>
        </is>
      </c>
      <c r="D81" s="53" t="inlineStr">
        <is>
          <t>Sets</t>
        </is>
      </c>
      <c r="E81" s="53" t="inlineStr">
        <is>
          <t>Reps</t>
        </is>
      </c>
      <c r="F81" s="53" t="inlineStr">
        <is>
          <t>% TM</t>
        </is>
      </c>
      <c r="G81" s="53" t="inlineStr">
        <is>
          <t>Prescribed Weight</t>
        </is>
      </c>
      <c r="H81" s="53" t="inlineStr">
        <is>
          <t>Target RPE</t>
        </is>
      </c>
      <c r="I81" s="53" t="inlineStr">
        <is>
          <t>Prescription Notes</t>
        </is>
      </c>
      <c r="J81" s="53" t="inlineStr">
        <is>
          <t>Actual Weight</t>
        </is>
      </c>
      <c r="K81" s="53" t="inlineStr">
        <is>
          <t>Actual Reps</t>
        </is>
      </c>
      <c r="L81" s="53" t="inlineStr">
        <is>
          <t>Done?</t>
        </is>
      </c>
    </row>
    <row r="82" ht="20" customHeight="1">
      <c r="A82" s="31" t="n">
        <v>1</v>
      </c>
      <c r="B82" s="32" t="inlineStr">
        <is>
          <t>Paused bench</t>
        </is>
      </c>
      <c r="C82" s="54" t="inlineStr">
        <is>
          <t>MAIN</t>
        </is>
      </c>
      <c r="D82" s="27" t="n">
        <v>4</v>
      </c>
      <c r="E82" s="27" t="inlineStr">
        <is>
          <t>3</t>
        </is>
      </c>
      <c r="F82" s="34" t="n">
        <v>0.7</v>
      </c>
      <c r="G82" s="35">
        <f>ROUND('Setup &amp; Dashboard'!$E$8*0.7/5, 0)*5</f>
        <v/>
      </c>
      <c r="H82" s="27" t="inlineStr">
        <is>
          <t>RPE 7</t>
        </is>
      </c>
      <c r="I82" s="36" t="inlineStr"/>
      <c r="J82" s="12" t="inlineStr"/>
      <c r="K82" s="8" t="inlineStr"/>
      <c r="L82" s="12" t="inlineStr"/>
    </row>
    <row r="83" ht="20" customHeight="1">
      <c r="A83" s="40" t="n">
        <v>2</v>
      </c>
      <c r="B83" s="30" t="inlineStr">
        <is>
          <t>Chest-supported row</t>
        </is>
      </c>
      <c r="C83" s="55" t="inlineStr">
        <is>
          <t>Acc</t>
        </is>
      </c>
      <c r="D83" s="38" t="n">
        <v>4</v>
      </c>
      <c r="E83" s="38" t="inlineStr">
        <is>
          <t>10</t>
        </is>
      </c>
      <c r="F83" s="38" t="inlineStr"/>
      <c r="G83" s="29" t="inlineStr"/>
      <c r="H83" s="40" t="inlineStr"/>
      <c r="I83" s="36" t="inlineStr"/>
      <c r="J83" s="12" t="inlineStr"/>
      <c r="K83" s="8" t="inlineStr"/>
      <c r="L83" s="12" t="inlineStr"/>
    </row>
    <row r="84" ht="20" customHeight="1">
      <c r="A84" s="31" t="n">
        <v>3</v>
      </c>
      <c r="B84" s="30" t="inlineStr">
        <is>
          <t>Lat pulldown</t>
        </is>
      </c>
      <c r="C84" s="55" t="inlineStr">
        <is>
          <t>Acc</t>
        </is>
      </c>
      <c r="D84" s="29" t="n">
        <v>3</v>
      </c>
      <c r="E84" s="29" t="inlineStr">
        <is>
          <t>12</t>
        </is>
      </c>
      <c r="F84" s="29" t="inlineStr"/>
      <c r="G84" s="29" t="inlineStr"/>
      <c r="H84" s="31" t="inlineStr"/>
      <c r="I84" s="36" t="inlineStr"/>
      <c r="J84" s="12" t="inlineStr"/>
      <c r="K84" s="8" t="inlineStr"/>
      <c r="L84" s="12" t="inlineStr"/>
    </row>
    <row r="85" ht="20" customHeight="1">
      <c r="A85" s="40" t="n">
        <v>4</v>
      </c>
      <c r="B85" s="30" t="inlineStr">
        <is>
          <t>Lateral raise</t>
        </is>
      </c>
      <c r="C85" s="55" t="inlineStr">
        <is>
          <t>Acc</t>
        </is>
      </c>
      <c r="D85" s="38" t="n">
        <v>3</v>
      </c>
      <c r="E85" s="38" t="inlineStr">
        <is>
          <t>15</t>
        </is>
      </c>
      <c r="F85" s="38" t="inlineStr"/>
      <c r="G85" s="29" t="inlineStr"/>
      <c r="H85" s="40" t="inlineStr"/>
      <c r="I85" s="36" t="inlineStr"/>
      <c r="J85" s="12" t="inlineStr"/>
      <c r="K85" s="8" t="inlineStr"/>
      <c r="L85" s="12" t="inlineStr"/>
    </row>
    <row r="86" ht="20" customHeight="1">
      <c r="A86" s="31" t="n">
        <v>5</v>
      </c>
      <c r="B86" s="30" t="inlineStr">
        <is>
          <t>Curl</t>
        </is>
      </c>
      <c r="C86" s="55" t="inlineStr">
        <is>
          <t>Acc</t>
        </is>
      </c>
      <c r="D86" s="29" t="n">
        <v>3</v>
      </c>
      <c r="E86" s="29" t="inlineStr">
        <is>
          <t>12</t>
        </is>
      </c>
      <c r="F86" s="29" t="inlineStr"/>
      <c r="G86" s="29" t="inlineStr"/>
      <c r="H86" s="31" t="inlineStr"/>
      <c r="I86" s="36" t="inlineStr"/>
      <c r="J86" s="12" t="inlineStr"/>
      <c r="K86" s="8" t="inlineStr"/>
      <c r="L86" s="12" t="inlineStr"/>
    </row>
    <row r="87" ht="20" customHeight="1">
      <c r="A87" s="40" t="n">
        <v>6</v>
      </c>
      <c r="B87" s="30" t="inlineStr">
        <is>
          <t>Pallof press</t>
        </is>
      </c>
      <c r="C87" s="55" t="inlineStr">
        <is>
          <t>Acc</t>
        </is>
      </c>
      <c r="D87" s="38" t="n">
        <v>3</v>
      </c>
      <c r="E87" s="38" t="inlineStr">
        <is>
          <t>10/side</t>
        </is>
      </c>
      <c r="F87" s="38" t="inlineStr"/>
      <c r="G87" s="29" t="inlineStr"/>
      <c r="H87" s="40" t="inlineStr"/>
      <c r="I87" s="36" t="inlineStr"/>
      <c r="J87" s="12" t="inlineStr"/>
      <c r="K87" s="8" t="inlineStr"/>
      <c r="L87" s="12" t="inlineStr"/>
    </row>
    <row r="88"/>
    <row r="89" ht="22" customHeight="1">
      <c r="A89" s="51" t="inlineStr">
        <is>
          <t>Day 5 : Saturday — Squat variant + Rack Pull</t>
        </is>
      </c>
    </row>
    <row r="90" ht="64" customHeight="1">
      <c r="A90" s="52" t="inlineStr">
        <is>
          <t>💡 Coaching Rationale: High bar squat at low intensity (65%) is a variation day — more quad emphasis, more upright torso, which builds a different piece of the squat than the low-bar/competition-style work on Day 1. Rack pull moves from a one-off test to real programmed work: 4x4 at 70%, mirroring the same volume approach as squat and bench.</t>
        </is>
      </c>
    </row>
    <row r="91" ht="22" customHeight="1">
      <c r="A91" s="53" t="inlineStr">
        <is>
          <t>#</t>
        </is>
      </c>
      <c r="B91" s="53" t="inlineStr">
        <is>
          <t>Exercise</t>
        </is>
      </c>
      <c r="C91" s="53" t="inlineStr">
        <is>
          <t>Type</t>
        </is>
      </c>
      <c r="D91" s="53" t="inlineStr">
        <is>
          <t>Sets</t>
        </is>
      </c>
      <c r="E91" s="53" t="inlineStr">
        <is>
          <t>Reps</t>
        </is>
      </c>
      <c r="F91" s="53" t="inlineStr">
        <is>
          <t>% TM</t>
        </is>
      </c>
      <c r="G91" s="53" t="inlineStr">
        <is>
          <t>Prescribed Weight</t>
        </is>
      </c>
      <c r="H91" s="53" t="inlineStr">
        <is>
          <t>Target RPE</t>
        </is>
      </c>
      <c r="I91" s="53" t="inlineStr">
        <is>
          <t>Prescription Notes</t>
        </is>
      </c>
      <c r="J91" s="53" t="inlineStr">
        <is>
          <t>Actual Weight</t>
        </is>
      </c>
      <c r="K91" s="53" t="inlineStr">
        <is>
          <t>Actual Reps</t>
        </is>
      </c>
      <c r="L91" s="53" t="inlineStr">
        <is>
          <t>Done?</t>
        </is>
      </c>
    </row>
    <row r="92" ht="20" customHeight="1">
      <c r="A92" s="31" t="n">
        <v>1</v>
      </c>
      <c r="B92" s="32" t="inlineStr">
        <is>
          <t>High bar squat</t>
        </is>
      </c>
      <c r="C92" s="54" t="inlineStr">
        <is>
          <t>MAIN</t>
        </is>
      </c>
      <c r="D92" s="27" t="n">
        <v>3</v>
      </c>
      <c r="E92" s="27" t="inlineStr">
        <is>
          <t>5</t>
        </is>
      </c>
      <c r="F92" s="34" t="n">
        <v>0.65</v>
      </c>
      <c r="G92" s="35">
        <f>ROUND('Setup &amp; Dashboard'!$E$7*0.65/5, 0)*5</f>
        <v/>
      </c>
      <c r="H92" s="27" t="inlineStr">
        <is>
          <t>RPE 7</t>
        </is>
      </c>
      <c r="I92" s="36" t="inlineStr"/>
      <c r="J92" s="12" t="inlineStr"/>
      <c r="K92" s="8" t="inlineStr"/>
      <c r="L92" s="12" t="inlineStr"/>
    </row>
    <row r="93" ht="20" customHeight="1">
      <c r="A93" s="31" t="n">
        <v>2</v>
      </c>
      <c r="B93" s="32" t="inlineStr">
        <is>
          <t>Rack pull</t>
        </is>
      </c>
      <c r="C93" s="54" t="inlineStr">
        <is>
          <t>MAIN</t>
        </is>
      </c>
      <c r="D93" s="27" t="n">
        <v>4</v>
      </c>
      <c r="E93" s="27" t="inlineStr">
        <is>
          <t>4</t>
        </is>
      </c>
      <c r="F93" s="34" t="n">
        <v>0.7</v>
      </c>
      <c r="G93" s="35">
        <f>ROUND('Setup &amp; Dashboard'!$E$10*0.7/5, 0)*5</f>
        <v/>
      </c>
      <c r="H93" s="27" t="inlineStr">
        <is>
          <t>RPE 7</t>
        </is>
      </c>
      <c r="I93" s="36" t="inlineStr"/>
      <c r="J93" s="12" t="inlineStr"/>
      <c r="K93" s="8" t="inlineStr"/>
      <c r="L93" s="12" t="inlineStr"/>
    </row>
    <row r="94" ht="20" customHeight="1">
      <c r="A94" s="31" t="n">
        <v>3</v>
      </c>
      <c r="B94" s="30" t="inlineStr">
        <is>
          <t>Reverse hyper</t>
        </is>
      </c>
      <c r="C94" s="55" t="inlineStr">
        <is>
          <t>Acc</t>
        </is>
      </c>
      <c r="D94" s="29" t="n">
        <v>2</v>
      </c>
      <c r="E94" s="29" t="inlineStr">
        <is>
          <t>12</t>
        </is>
      </c>
      <c r="F94" s="29" t="inlineStr"/>
      <c r="G94" s="29" t="inlineStr"/>
      <c r="H94" s="31" t="inlineStr"/>
      <c r="I94" s="36" t="inlineStr"/>
      <c r="J94" s="12" t="inlineStr"/>
      <c r="K94" s="8" t="inlineStr"/>
      <c r="L94" s="12" t="inlineStr"/>
    </row>
    <row r="95" ht="20" customHeight="1">
      <c r="A95" s="40" t="n">
        <v>4</v>
      </c>
      <c r="B95" s="30" t="inlineStr">
        <is>
          <t>GHR or Nordic curl</t>
        </is>
      </c>
      <c r="C95" s="55" t="inlineStr">
        <is>
          <t>Acc</t>
        </is>
      </c>
      <c r="D95" s="38" t="n">
        <v>3</v>
      </c>
      <c r="E95" s="38" t="inlineStr">
        <is>
          <t>8</t>
        </is>
      </c>
      <c r="F95" s="38" t="inlineStr"/>
      <c r="G95" s="29" t="inlineStr"/>
      <c r="H95" s="40" t="inlineStr"/>
      <c r="I95" s="36" t="inlineStr"/>
      <c r="J95" s="12" t="inlineStr"/>
      <c r="K95" s="8" t="inlineStr"/>
      <c r="L95" s="12" t="inlineStr"/>
    </row>
    <row r="96"/>
    <row r="97"/>
    <row r="98" ht="26" customHeight="1">
      <c r="A98" s="50" t="inlineStr">
        <is>
          <t>WEEK 3 — ACCUMULATION</t>
        </is>
      </c>
    </row>
    <row r="99" ht="22" customHeight="1">
      <c r="A99" s="51" t="inlineStr">
        <is>
          <t>Day 1 : Monday — Squat</t>
        </is>
      </c>
    </row>
    <row r="100" ht="48" customHeight="1">
      <c r="A100" s="52" t="inlineStr">
        <is>
          <t>💡 Coaching Rationale: Sets climb to 6x3 while reps per set drop — this is the volume peak of the block starting to show. Total load lifted keeps rising even though reps-per-set fall, which is how accumulation blocks build work capacity without needing RPE to spike.</t>
        </is>
      </c>
    </row>
    <row r="101" ht="22" customHeight="1">
      <c r="A101" s="53" t="inlineStr">
        <is>
          <t>#</t>
        </is>
      </c>
      <c r="B101" s="53" t="inlineStr">
        <is>
          <t>Exercise</t>
        </is>
      </c>
      <c r="C101" s="53" t="inlineStr">
        <is>
          <t>Type</t>
        </is>
      </c>
      <c r="D101" s="53" t="inlineStr">
        <is>
          <t>Sets</t>
        </is>
      </c>
      <c r="E101" s="53" t="inlineStr">
        <is>
          <t>Reps</t>
        </is>
      </c>
      <c r="F101" s="53" t="inlineStr">
        <is>
          <t>% TM</t>
        </is>
      </c>
      <c r="G101" s="53" t="inlineStr">
        <is>
          <t>Prescribed Weight</t>
        </is>
      </c>
      <c r="H101" s="53" t="inlineStr">
        <is>
          <t>Target RPE</t>
        </is>
      </c>
      <c r="I101" s="53" t="inlineStr">
        <is>
          <t>Prescription Notes</t>
        </is>
      </c>
      <c r="J101" s="53" t="inlineStr">
        <is>
          <t>Actual Weight</t>
        </is>
      </c>
      <c r="K101" s="53" t="inlineStr">
        <is>
          <t>Actual Reps</t>
        </is>
      </c>
      <c r="L101" s="53" t="inlineStr">
        <is>
          <t>Done?</t>
        </is>
      </c>
    </row>
    <row r="102" ht="20" customHeight="1">
      <c r="A102" s="31" t="n">
        <v>1</v>
      </c>
      <c r="B102" s="32" t="inlineStr">
        <is>
          <t>Squat</t>
        </is>
      </c>
      <c r="C102" s="54" t="inlineStr">
        <is>
          <t>MAIN</t>
        </is>
      </c>
      <c r="D102" s="27" t="n">
        <v>6</v>
      </c>
      <c r="E102" s="27" t="inlineStr">
        <is>
          <t>3</t>
        </is>
      </c>
      <c r="F102" s="34" t="n">
        <v>0.77</v>
      </c>
      <c r="G102" s="35">
        <f>ROUND('Setup &amp; Dashboard'!$E$7*0.77/5, 0)*5</f>
        <v/>
      </c>
      <c r="H102" s="27" t="inlineStr">
        <is>
          <t>RPE 7-8</t>
        </is>
      </c>
      <c r="I102" s="36" t="inlineStr"/>
      <c r="J102" s="12" t="inlineStr"/>
      <c r="K102" s="8" t="inlineStr"/>
      <c r="L102" s="12" t="inlineStr"/>
    </row>
    <row r="103" ht="20" customHeight="1">
      <c r="A103" s="40" t="n">
        <v>2</v>
      </c>
      <c r="B103" s="30" t="inlineStr">
        <is>
          <t>Bulgarian split squat</t>
        </is>
      </c>
      <c r="C103" s="55" t="inlineStr">
        <is>
          <t>Acc</t>
        </is>
      </c>
      <c r="D103" s="38" t="n">
        <v>3</v>
      </c>
      <c r="E103" s="38" t="inlineStr">
        <is>
          <t>8-10/leg</t>
        </is>
      </c>
      <c r="F103" s="38" t="inlineStr"/>
      <c r="G103" s="29" t="inlineStr"/>
      <c r="H103" s="40" t="inlineStr"/>
      <c r="I103" s="36" t="inlineStr"/>
      <c r="J103" s="12" t="inlineStr"/>
      <c r="K103" s="8" t="inlineStr"/>
      <c r="L103" s="12" t="inlineStr"/>
    </row>
    <row r="104" ht="20" customHeight="1">
      <c r="A104" s="31" t="n">
        <v>3</v>
      </c>
      <c r="B104" s="30" t="inlineStr">
        <is>
          <t>Leg curl</t>
        </is>
      </c>
      <c r="C104" s="55" t="inlineStr">
        <is>
          <t>Acc</t>
        </is>
      </c>
      <c r="D104" s="29" t="n">
        <v>3</v>
      </c>
      <c r="E104" s="29" t="inlineStr">
        <is>
          <t>12</t>
        </is>
      </c>
      <c r="F104" s="29" t="inlineStr"/>
      <c r="G104" s="29" t="inlineStr"/>
      <c r="H104" s="31" t="inlineStr"/>
      <c r="I104" s="36" t="inlineStr"/>
      <c r="J104" s="12" t="inlineStr"/>
      <c r="K104" s="8" t="inlineStr"/>
      <c r="L104" s="12" t="inlineStr"/>
    </row>
    <row r="105" ht="20" customHeight="1">
      <c r="A105" s="40" t="n">
        <v>4</v>
      </c>
      <c r="B105" s="30" t="inlineStr">
        <is>
          <t>Copenhagen plank</t>
        </is>
      </c>
      <c r="C105" s="55" t="inlineStr">
        <is>
          <t>Acc</t>
        </is>
      </c>
      <c r="D105" s="38" t="n">
        <v>3</v>
      </c>
      <c r="E105" s="38" t="inlineStr">
        <is>
          <t>30sec/side</t>
        </is>
      </c>
      <c r="F105" s="38" t="inlineStr"/>
      <c r="G105" s="29" t="inlineStr"/>
      <c r="H105" s="40" t="inlineStr"/>
      <c r="I105" s="36" t="inlineStr"/>
      <c r="J105" s="12" t="inlineStr"/>
      <c r="K105" s="8" t="inlineStr"/>
      <c r="L105" s="12" t="inlineStr"/>
    </row>
    <row r="106"/>
    <row r="107" ht="22" customHeight="1">
      <c r="A107" s="51" t="inlineStr">
        <is>
          <t>Day 2 : Tuesday — Bench</t>
        </is>
      </c>
    </row>
    <row r="108" ht="32" customHeight="1">
      <c r="A108" s="52" t="inlineStr">
        <is>
          <t>💡 Coaching Rationale: Same pattern as squat — more sets, fewer reps, intensity now at 76%. RPE creeping to 7-8 is expected and fine; this is still sub-maximal work.</t>
        </is>
      </c>
    </row>
    <row r="109" ht="22" customHeight="1">
      <c r="A109" s="53" t="inlineStr">
        <is>
          <t>#</t>
        </is>
      </c>
      <c r="B109" s="53" t="inlineStr">
        <is>
          <t>Exercise</t>
        </is>
      </c>
      <c r="C109" s="53" t="inlineStr">
        <is>
          <t>Type</t>
        </is>
      </c>
      <c r="D109" s="53" t="inlineStr">
        <is>
          <t>Sets</t>
        </is>
      </c>
      <c r="E109" s="53" t="inlineStr">
        <is>
          <t>Reps</t>
        </is>
      </c>
      <c r="F109" s="53" t="inlineStr">
        <is>
          <t>% TM</t>
        </is>
      </c>
      <c r="G109" s="53" t="inlineStr">
        <is>
          <t>Prescribed Weight</t>
        </is>
      </c>
      <c r="H109" s="53" t="inlineStr">
        <is>
          <t>Target RPE</t>
        </is>
      </c>
      <c r="I109" s="53" t="inlineStr">
        <is>
          <t>Prescription Notes</t>
        </is>
      </c>
      <c r="J109" s="53" t="inlineStr">
        <is>
          <t>Actual Weight</t>
        </is>
      </c>
      <c r="K109" s="53" t="inlineStr">
        <is>
          <t>Actual Reps</t>
        </is>
      </c>
      <c r="L109" s="53" t="inlineStr">
        <is>
          <t>Done?</t>
        </is>
      </c>
    </row>
    <row r="110" ht="20" customHeight="1">
      <c r="A110" s="31" t="n">
        <v>1</v>
      </c>
      <c r="B110" s="32" t="inlineStr">
        <is>
          <t>Bench</t>
        </is>
      </c>
      <c r="C110" s="54" t="inlineStr">
        <is>
          <t>MAIN</t>
        </is>
      </c>
      <c r="D110" s="27" t="n">
        <v>5</v>
      </c>
      <c r="E110" s="27" t="inlineStr">
        <is>
          <t>4</t>
        </is>
      </c>
      <c r="F110" s="34" t="n">
        <v>0.76</v>
      </c>
      <c r="G110" s="35">
        <f>ROUND('Setup &amp; Dashboard'!$E$8*0.76/5, 0)*5</f>
        <v/>
      </c>
      <c r="H110" s="27" t="inlineStr">
        <is>
          <t>RPE 7-8</t>
        </is>
      </c>
      <c r="I110" s="36" t="inlineStr"/>
      <c r="J110" s="12" t="inlineStr"/>
      <c r="K110" s="8" t="inlineStr"/>
      <c r="L110" s="12" t="inlineStr"/>
    </row>
    <row r="111" ht="20" customHeight="1">
      <c r="A111" s="40" t="n">
        <v>2</v>
      </c>
      <c r="B111" s="30" t="inlineStr">
        <is>
          <t>Close-grip bench</t>
        </is>
      </c>
      <c r="C111" s="55" t="inlineStr">
        <is>
          <t>Acc</t>
        </is>
      </c>
      <c r="D111" s="38" t="n">
        <v>3</v>
      </c>
      <c r="E111" s="38" t="inlineStr">
        <is>
          <t>5</t>
        </is>
      </c>
      <c r="F111" s="38" t="inlineStr"/>
      <c r="G111" s="29" t="inlineStr"/>
      <c r="H111" s="40" t="inlineStr"/>
      <c r="I111" s="36" t="inlineStr"/>
      <c r="J111" s="12" t="inlineStr"/>
      <c r="K111" s="8" t="inlineStr"/>
      <c r="L111" s="12" t="inlineStr"/>
    </row>
    <row r="112" ht="20" customHeight="1">
      <c r="A112" s="31" t="n">
        <v>3</v>
      </c>
      <c r="B112" s="30" t="inlineStr">
        <is>
          <t>Incline DB press</t>
        </is>
      </c>
      <c r="C112" s="55" t="inlineStr">
        <is>
          <t>Acc</t>
        </is>
      </c>
      <c r="D112" s="29" t="n">
        <v>3</v>
      </c>
      <c r="E112" s="29" t="inlineStr">
        <is>
          <t>10-12</t>
        </is>
      </c>
      <c r="F112" s="29" t="inlineStr"/>
      <c r="G112" s="29" t="inlineStr"/>
      <c r="H112" s="31" t="inlineStr"/>
      <c r="I112" s="36" t="inlineStr"/>
      <c r="J112" s="12" t="inlineStr"/>
      <c r="K112" s="8" t="inlineStr"/>
      <c r="L112" s="12" t="inlineStr"/>
    </row>
    <row r="113" ht="20" customHeight="1">
      <c r="A113" s="40" t="n">
        <v>4</v>
      </c>
      <c r="B113" s="30" t="inlineStr">
        <is>
          <t>Triceps pressdown</t>
        </is>
      </c>
      <c r="C113" s="55" t="inlineStr">
        <is>
          <t>Acc</t>
        </is>
      </c>
      <c r="D113" s="38" t="n">
        <v>3</v>
      </c>
      <c r="E113" s="38" t="inlineStr">
        <is>
          <t>12</t>
        </is>
      </c>
      <c r="F113" s="38" t="inlineStr"/>
      <c r="G113" s="29" t="inlineStr"/>
      <c r="H113" s="40" t="inlineStr"/>
      <c r="I113" s="36" t="inlineStr"/>
      <c r="J113" s="12" t="inlineStr"/>
      <c r="K113" s="8" t="inlineStr"/>
      <c r="L113" s="12" t="inlineStr"/>
    </row>
    <row r="114" ht="20" customHeight="1">
      <c r="A114" s="31" t="n">
        <v>5</v>
      </c>
      <c r="B114" s="30" t="inlineStr">
        <is>
          <t>Face pull</t>
        </is>
      </c>
      <c r="C114" s="55" t="inlineStr">
        <is>
          <t>Acc</t>
        </is>
      </c>
      <c r="D114" s="29" t="n">
        <v>3</v>
      </c>
      <c r="E114" s="29" t="inlineStr">
        <is>
          <t>15</t>
        </is>
      </c>
      <c r="F114" s="29" t="inlineStr"/>
      <c r="G114" s="29" t="inlineStr"/>
      <c r="H114" s="31" t="inlineStr"/>
      <c r="I114" s="36" t="inlineStr"/>
      <c r="J114" s="12" t="inlineStr"/>
      <c r="K114" s="8" t="inlineStr"/>
      <c r="L114" s="12" t="inlineStr"/>
    </row>
    <row r="115"/>
    <row r="116" ht="22" customHeight="1">
      <c r="A116" s="51" t="inlineStr">
        <is>
          <t>Day 3 : Thursday — Deadlift</t>
        </is>
      </c>
    </row>
    <row r="117" ht="32" customHeight="1">
      <c r="A117" s="52" t="inlineStr">
        <is>
          <t>💡 Coaching Rationale: 4x3 @ 76% — deadlift picks up a 4th set for the first time this cycle, timed for the middle of the block rather than the start, once your body has had two weeks to adapt to the lift's demands.</t>
        </is>
      </c>
    </row>
    <row r="118" ht="22" customHeight="1">
      <c r="A118" s="53" t="inlineStr">
        <is>
          <t>#</t>
        </is>
      </c>
      <c r="B118" s="53" t="inlineStr">
        <is>
          <t>Exercise</t>
        </is>
      </c>
      <c r="C118" s="53" t="inlineStr">
        <is>
          <t>Type</t>
        </is>
      </c>
      <c r="D118" s="53" t="inlineStr">
        <is>
          <t>Sets</t>
        </is>
      </c>
      <c r="E118" s="53" t="inlineStr">
        <is>
          <t>Reps</t>
        </is>
      </c>
      <c r="F118" s="53" t="inlineStr">
        <is>
          <t>% TM</t>
        </is>
      </c>
      <c r="G118" s="53" t="inlineStr">
        <is>
          <t>Prescribed Weight</t>
        </is>
      </c>
      <c r="H118" s="53" t="inlineStr">
        <is>
          <t>Target RPE</t>
        </is>
      </c>
      <c r="I118" s="53" t="inlineStr">
        <is>
          <t>Prescription Notes</t>
        </is>
      </c>
      <c r="J118" s="53" t="inlineStr">
        <is>
          <t>Actual Weight</t>
        </is>
      </c>
      <c r="K118" s="53" t="inlineStr">
        <is>
          <t>Actual Reps</t>
        </is>
      </c>
      <c r="L118" s="53" t="inlineStr">
        <is>
          <t>Done?</t>
        </is>
      </c>
    </row>
    <row r="119" ht="20" customHeight="1">
      <c r="A119" s="31" t="n">
        <v>1</v>
      </c>
      <c r="B119" s="32" t="inlineStr">
        <is>
          <t>Deadlift</t>
        </is>
      </c>
      <c r="C119" s="54" t="inlineStr">
        <is>
          <t>MAIN</t>
        </is>
      </c>
      <c r="D119" s="27" t="n">
        <v>4</v>
      </c>
      <c r="E119" s="27" t="inlineStr">
        <is>
          <t>3</t>
        </is>
      </c>
      <c r="F119" s="34" t="n">
        <v>0.76</v>
      </c>
      <c r="G119" s="35">
        <f>ROUND('Setup &amp; Dashboard'!$E$9*0.76/5, 0)*5</f>
        <v/>
      </c>
      <c r="H119" s="27" t="inlineStr">
        <is>
          <t>RPE 7-8</t>
        </is>
      </c>
      <c r="I119" s="36" t="inlineStr"/>
      <c r="J119" s="12" t="inlineStr"/>
      <c r="K119" s="8" t="inlineStr"/>
      <c r="L119" s="12" t="inlineStr"/>
    </row>
    <row r="120" ht="20" customHeight="1">
      <c r="A120" s="31" t="n">
        <v>2</v>
      </c>
      <c r="B120" s="30" t="inlineStr">
        <is>
          <t>Paused deadlift</t>
        </is>
      </c>
      <c r="C120" s="55" t="inlineStr">
        <is>
          <t>Acc</t>
        </is>
      </c>
      <c r="D120" s="29" t="n">
        <v>2</v>
      </c>
      <c r="E120" s="29" t="inlineStr">
        <is>
          <t>2</t>
        </is>
      </c>
      <c r="F120" s="43" t="n">
        <v>0.6</v>
      </c>
      <c r="G120" s="35">
        <f>ROUND('Setup &amp; Dashboard'!$E$9*0.6/5, 0)*5</f>
        <v/>
      </c>
      <c r="H120" s="31" t="inlineStr"/>
      <c r="I120" s="36" t="inlineStr"/>
      <c r="J120" s="12" t="inlineStr"/>
      <c r="K120" s="8" t="inlineStr"/>
      <c r="L120" s="12" t="inlineStr"/>
    </row>
    <row r="121" ht="20" customHeight="1">
      <c r="A121" s="40" t="n">
        <v>3</v>
      </c>
      <c r="B121" s="30" t="inlineStr">
        <is>
          <t>Farmer's carry</t>
        </is>
      </c>
      <c r="C121" s="55" t="inlineStr">
        <is>
          <t>Acc</t>
        </is>
      </c>
      <c r="D121" s="38" t="n">
        <v>3</v>
      </c>
      <c r="E121" s="38" t="inlineStr">
        <is>
          <t>30-40m</t>
        </is>
      </c>
      <c r="F121" s="38" t="inlineStr"/>
      <c r="G121" s="29" t="inlineStr"/>
      <c r="H121" s="40" t="inlineStr"/>
      <c r="I121" s="36" t="inlineStr"/>
      <c r="J121" s="12" t="inlineStr"/>
      <c r="K121" s="8" t="inlineStr"/>
      <c r="L121" s="12" t="inlineStr"/>
    </row>
    <row r="122" ht="20" customHeight="1">
      <c r="A122" s="31" t="n">
        <v>4</v>
      </c>
      <c r="B122" s="30" t="inlineStr">
        <is>
          <t>Reverse hyper</t>
        </is>
      </c>
      <c r="C122" s="55" t="inlineStr">
        <is>
          <t>Acc</t>
        </is>
      </c>
      <c r="D122" s="29" t="n">
        <v>2</v>
      </c>
      <c r="E122" s="29" t="inlineStr">
        <is>
          <t>15</t>
        </is>
      </c>
      <c r="F122" s="29" t="inlineStr"/>
      <c r="G122" s="29" t="inlineStr"/>
      <c r="H122" s="31" t="inlineStr"/>
      <c r="I122" s="36" t="inlineStr"/>
      <c r="J122" s="12" t="inlineStr"/>
      <c r="K122" s="8" t="inlineStr"/>
      <c r="L122" s="12" t="inlineStr"/>
    </row>
    <row r="123" ht="20" customHeight="1">
      <c r="A123" s="40" t="n">
        <v>5</v>
      </c>
      <c r="B123" s="30" t="inlineStr">
        <is>
          <t>Jefferson curl</t>
        </is>
      </c>
      <c r="C123" s="55" t="inlineStr">
        <is>
          <t>Acc</t>
        </is>
      </c>
      <c r="D123" s="38" t="n">
        <v>2</v>
      </c>
      <c r="E123" s="38" t="inlineStr">
        <is>
          <t>8</t>
        </is>
      </c>
      <c r="F123" s="38" t="inlineStr"/>
      <c r="G123" s="29" t="inlineStr"/>
      <c r="H123" s="40" t="inlineStr"/>
      <c r="I123" s="36" t="inlineStr"/>
      <c r="J123" s="12" t="inlineStr"/>
      <c r="K123" s="8" t="inlineStr"/>
      <c r="L123" s="12" t="inlineStr"/>
    </row>
    <row r="124"/>
    <row r="125" ht="22" customHeight="1">
      <c r="A125" s="51" t="inlineStr">
        <is>
          <t>Day 4 : Friday — Bench variant / upper body</t>
        </is>
      </c>
    </row>
    <row r="126" ht="48" customHeight="1">
      <c r="A126" s="52" t="inlineStr">
        <is>
          <t>💡 Coaching Rationale: Spoto press (paused a few inches off the chest) targets the mid-range sticking point most lifters actually miss reps at — introducing it here, still light (60%), builds familiarity before it matters more in heavier weeks.</t>
        </is>
      </c>
    </row>
    <row r="127" ht="22" customHeight="1">
      <c r="A127" s="53" t="inlineStr">
        <is>
          <t>#</t>
        </is>
      </c>
      <c r="B127" s="53" t="inlineStr">
        <is>
          <t>Exercise</t>
        </is>
      </c>
      <c r="C127" s="53" t="inlineStr">
        <is>
          <t>Type</t>
        </is>
      </c>
      <c r="D127" s="53" t="inlineStr">
        <is>
          <t>Sets</t>
        </is>
      </c>
      <c r="E127" s="53" t="inlineStr">
        <is>
          <t>Reps</t>
        </is>
      </c>
      <c r="F127" s="53" t="inlineStr">
        <is>
          <t>% TM</t>
        </is>
      </c>
      <c r="G127" s="53" t="inlineStr">
        <is>
          <t>Prescribed Weight</t>
        </is>
      </c>
      <c r="H127" s="53" t="inlineStr">
        <is>
          <t>Target RPE</t>
        </is>
      </c>
      <c r="I127" s="53" t="inlineStr">
        <is>
          <t>Prescription Notes</t>
        </is>
      </c>
      <c r="J127" s="53" t="inlineStr">
        <is>
          <t>Actual Weight</t>
        </is>
      </c>
      <c r="K127" s="53" t="inlineStr">
        <is>
          <t>Actual Reps</t>
        </is>
      </c>
      <c r="L127" s="53" t="inlineStr">
        <is>
          <t>Done?</t>
        </is>
      </c>
    </row>
    <row r="128" ht="20" customHeight="1">
      <c r="A128" s="31" t="n">
        <v>1</v>
      </c>
      <c r="B128" s="32" t="inlineStr">
        <is>
          <t>Spoto press</t>
        </is>
      </c>
      <c r="C128" s="54" t="inlineStr">
        <is>
          <t>MAIN</t>
        </is>
      </c>
      <c r="D128" s="27" t="n">
        <v>4</v>
      </c>
      <c r="E128" s="27" t="inlineStr">
        <is>
          <t>4</t>
        </is>
      </c>
      <c r="F128" s="34" t="n">
        <v>0.6</v>
      </c>
      <c r="G128" s="35">
        <f>ROUND('Setup &amp; Dashboard'!$E$8*0.6/5, 0)*5</f>
        <v/>
      </c>
      <c r="H128" s="27" t="inlineStr">
        <is>
          <t>RPE 6-7</t>
        </is>
      </c>
      <c r="I128" s="36" t="inlineStr"/>
      <c r="J128" s="12" t="inlineStr"/>
      <c r="K128" s="8" t="inlineStr"/>
      <c r="L128" s="12" t="inlineStr"/>
    </row>
    <row r="129" ht="20" customHeight="1">
      <c r="A129" s="40" t="n">
        <v>2</v>
      </c>
      <c r="B129" s="30" t="inlineStr">
        <is>
          <t>Chest-supported row</t>
        </is>
      </c>
      <c r="C129" s="55" t="inlineStr">
        <is>
          <t>Acc</t>
        </is>
      </c>
      <c r="D129" s="38" t="n">
        <v>4</v>
      </c>
      <c r="E129" s="38" t="inlineStr">
        <is>
          <t>10</t>
        </is>
      </c>
      <c r="F129" s="38" t="inlineStr"/>
      <c r="G129" s="29" t="inlineStr"/>
      <c r="H129" s="40" t="inlineStr"/>
      <c r="I129" s="36" t="inlineStr"/>
      <c r="J129" s="12" t="inlineStr"/>
      <c r="K129" s="8" t="inlineStr"/>
      <c r="L129" s="12" t="inlineStr"/>
    </row>
    <row r="130" ht="20" customHeight="1">
      <c r="A130" s="31" t="n">
        <v>3</v>
      </c>
      <c r="B130" s="30" t="inlineStr">
        <is>
          <t>Lat pulldown</t>
        </is>
      </c>
      <c r="C130" s="55" t="inlineStr">
        <is>
          <t>Acc</t>
        </is>
      </c>
      <c r="D130" s="29" t="n">
        <v>3</v>
      </c>
      <c r="E130" s="29" t="inlineStr">
        <is>
          <t>12</t>
        </is>
      </c>
      <c r="F130" s="29" t="inlineStr"/>
      <c r="G130" s="29" t="inlineStr"/>
      <c r="H130" s="31" t="inlineStr"/>
      <c r="I130" s="36" t="inlineStr"/>
      <c r="J130" s="12" t="inlineStr"/>
      <c r="K130" s="8" t="inlineStr"/>
      <c r="L130" s="12" t="inlineStr"/>
    </row>
    <row r="131" ht="20" customHeight="1">
      <c r="A131" s="40" t="n">
        <v>4</v>
      </c>
      <c r="B131" s="30" t="inlineStr">
        <is>
          <t>Lateral raise</t>
        </is>
      </c>
      <c r="C131" s="55" t="inlineStr">
        <is>
          <t>Acc</t>
        </is>
      </c>
      <c r="D131" s="38" t="n">
        <v>3</v>
      </c>
      <c r="E131" s="38" t="inlineStr">
        <is>
          <t>15</t>
        </is>
      </c>
      <c r="F131" s="38" t="inlineStr"/>
      <c r="G131" s="29" t="inlineStr"/>
      <c r="H131" s="40" t="inlineStr"/>
      <c r="I131" s="36" t="inlineStr"/>
      <c r="J131" s="12" t="inlineStr"/>
      <c r="K131" s="8" t="inlineStr"/>
      <c r="L131" s="12" t="inlineStr"/>
    </row>
    <row r="132" ht="20" customHeight="1">
      <c r="A132" s="31" t="n">
        <v>5</v>
      </c>
      <c r="B132" s="30" t="inlineStr">
        <is>
          <t>Curl</t>
        </is>
      </c>
      <c r="C132" s="55" t="inlineStr">
        <is>
          <t>Acc</t>
        </is>
      </c>
      <c r="D132" s="29" t="n">
        <v>3</v>
      </c>
      <c r="E132" s="29" t="inlineStr">
        <is>
          <t>12</t>
        </is>
      </c>
      <c r="F132" s="29" t="inlineStr"/>
      <c r="G132" s="29" t="inlineStr"/>
      <c r="H132" s="31" t="inlineStr"/>
      <c r="I132" s="36" t="inlineStr"/>
      <c r="J132" s="12" t="inlineStr"/>
      <c r="K132" s="8" t="inlineStr"/>
      <c r="L132" s="12" t="inlineStr"/>
    </row>
    <row r="133" ht="20" customHeight="1">
      <c r="A133" s="40" t="n">
        <v>6</v>
      </c>
      <c r="B133" s="30" t="inlineStr">
        <is>
          <t>Pallof press</t>
        </is>
      </c>
      <c r="C133" s="55" t="inlineStr">
        <is>
          <t>Acc</t>
        </is>
      </c>
      <c r="D133" s="38" t="n">
        <v>3</v>
      </c>
      <c r="E133" s="38" t="inlineStr">
        <is>
          <t>10/side</t>
        </is>
      </c>
      <c r="F133" s="38" t="inlineStr"/>
      <c r="G133" s="29" t="inlineStr"/>
      <c r="H133" s="40" t="inlineStr"/>
      <c r="I133" s="36" t="inlineStr"/>
      <c r="J133" s="12" t="inlineStr"/>
      <c r="K133" s="8" t="inlineStr"/>
      <c r="L133" s="12" t="inlineStr"/>
    </row>
    <row r="134"/>
    <row r="135" ht="22" customHeight="1">
      <c r="A135" s="51" t="inlineStr">
        <is>
          <t>Day 5 : Saturday — Squat variant + Rack Pull</t>
        </is>
      </c>
    </row>
    <row r="136" ht="32" customHeight="1">
      <c r="A136" s="52" t="inlineStr">
        <is>
          <t>💡 Coaching Rationale: Tempo squat stays light and technical. Rack pull jumps to 5x3 @ 74% — the volume peak for that lift this week, same logic as squat and bench getting their heaviest work here.</t>
        </is>
      </c>
    </row>
    <row r="137" ht="22" customHeight="1">
      <c r="A137" s="53" t="inlineStr">
        <is>
          <t>#</t>
        </is>
      </c>
      <c r="B137" s="53" t="inlineStr">
        <is>
          <t>Exercise</t>
        </is>
      </c>
      <c r="C137" s="53" t="inlineStr">
        <is>
          <t>Type</t>
        </is>
      </c>
      <c r="D137" s="53" t="inlineStr">
        <is>
          <t>Sets</t>
        </is>
      </c>
      <c r="E137" s="53" t="inlineStr">
        <is>
          <t>Reps</t>
        </is>
      </c>
      <c r="F137" s="53" t="inlineStr">
        <is>
          <t>% TM</t>
        </is>
      </c>
      <c r="G137" s="53" t="inlineStr">
        <is>
          <t>Prescribed Weight</t>
        </is>
      </c>
      <c r="H137" s="53" t="inlineStr">
        <is>
          <t>Target RPE</t>
        </is>
      </c>
      <c r="I137" s="53" t="inlineStr">
        <is>
          <t>Prescription Notes</t>
        </is>
      </c>
      <c r="J137" s="53" t="inlineStr">
        <is>
          <t>Actual Weight</t>
        </is>
      </c>
      <c r="K137" s="53" t="inlineStr">
        <is>
          <t>Actual Reps</t>
        </is>
      </c>
      <c r="L137" s="53" t="inlineStr">
        <is>
          <t>Done?</t>
        </is>
      </c>
    </row>
    <row r="138" ht="20" customHeight="1">
      <c r="A138" s="31" t="n">
        <v>1</v>
      </c>
      <c r="B138" s="32" t="inlineStr">
        <is>
          <t>Tempo squat</t>
        </is>
      </c>
      <c r="C138" s="54" t="inlineStr">
        <is>
          <t>MAIN</t>
        </is>
      </c>
      <c r="D138" s="27" t="n">
        <v>3</v>
      </c>
      <c r="E138" s="27" t="inlineStr">
        <is>
          <t>4</t>
        </is>
      </c>
      <c r="F138" s="34" t="n">
        <v>0.65</v>
      </c>
      <c r="G138" s="35">
        <f>ROUND('Setup &amp; Dashboard'!$E$7*0.65/5, 0)*5</f>
        <v/>
      </c>
      <c r="H138" s="27" t="inlineStr">
        <is>
          <t>RPE 7</t>
        </is>
      </c>
      <c r="I138" s="36" t="inlineStr"/>
      <c r="J138" s="12" t="inlineStr"/>
      <c r="K138" s="8" t="inlineStr"/>
      <c r="L138" s="12" t="inlineStr"/>
    </row>
    <row r="139" ht="20" customHeight="1">
      <c r="A139" s="31" t="n">
        <v>2</v>
      </c>
      <c r="B139" s="32" t="inlineStr">
        <is>
          <t>Rack pull</t>
        </is>
      </c>
      <c r="C139" s="54" t="inlineStr">
        <is>
          <t>MAIN</t>
        </is>
      </c>
      <c r="D139" s="27" t="n">
        <v>5</v>
      </c>
      <c r="E139" s="27" t="inlineStr">
        <is>
          <t>3</t>
        </is>
      </c>
      <c r="F139" s="34" t="n">
        <v>0.74</v>
      </c>
      <c r="G139" s="35">
        <f>ROUND('Setup &amp; Dashboard'!$E$10*0.74/5, 0)*5</f>
        <v/>
      </c>
      <c r="H139" s="27" t="inlineStr">
        <is>
          <t>RPE 7-8</t>
        </is>
      </c>
      <c r="I139" s="36" t="inlineStr"/>
      <c r="J139" s="12" t="inlineStr"/>
      <c r="K139" s="8" t="inlineStr"/>
      <c r="L139" s="12" t="inlineStr"/>
    </row>
    <row r="140" ht="20" customHeight="1">
      <c r="A140" s="31" t="n">
        <v>3</v>
      </c>
      <c r="B140" s="30" t="inlineStr">
        <is>
          <t>Reverse hyper</t>
        </is>
      </c>
      <c r="C140" s="55" t="inlineStr">
        <is>
          <t>Acc</t>
        </is>
      </c>
      <c r="D140" s="29" t="n">
        <v>2</v>
      </c>
      <c r="E140" s="29" t="inlineStr">
        <is>
          <t>12</t>
        </is>
      </c>
      <c r="F140" s="29" t="inlineStr"/>
      <c r="G140" s="29" t="inlineStr"/>
      <c r="H140" s="31" t="inlineStr"/>
      <c r="I140" s="36" t="inlineStr"/>
      <c r="J140" s="12" t="inlineStr"/>
      <c r="K140" s="8" t="inlineStr"/>
      <c r="L140" s="12" t="inlineStr"/>
    </row>
    <row r="141" ht="20" customHeight="1">
      <c r="A141" s="40" t="n">
        <v>4</v>
      </c>
      <c r="B141" s="30" t="inlineStr">
        <is>
          <t>GHR or Nordic curl</t>
        </is>
      </c>
      <c r="C141" s="55" t="inlineStr">
        <is>
          <t>Acc</t>
        </is>
      </c>
      <c r="D141" s="38" t="n">
        <v>3</v>
      </c>
      <c r="E141" s="38" t="inlineStr">
        <is>
          <t>8</t>
        </is>
      </c>
      <c r="F141" s="38" t="inlineStr"/>
      <c r="G141" s="29" t="inlineStr"/>
      <c r="H141" s="40" t="inlineStr"/>
      <c r="I141" s="36" t="inlineStr"/>
      <c r="J141" s="12" t="inlineStr"/>
      <c r="K141" s="8" t="inlineStr"/>
      <c r="L141" s="12" t="inlineStr"/>
    </row>
    <row r="142"/>
    <row r="143"/>
    <row r="144" ht="26" customHeight="1">
      <c r="A144" s="56" t="inlineStr">
        <is>
          <t>WEEK 4 — ACCUMULATION PEAK</t>
        </is>
      </c>
    </row>
    <row r="145" ht="22" customHeight="1">
      <c r="A145" s="51" t="inlineStr">
        <is>
          <t>Day 1 : Monday — Squat</t>
        </is>
      </c>
    </row>
    <row r="146" ht="48" customHeight="1">
      <c r="A146" s="52" t="inlineStr">
        <is>
          <t>💡 Coaching Rationale: 6x3 @ 80% is the heaviest and most fatiguing squat session of the accumulation block — RPE 8 means you're finishing sets with genuine effort. This is the intended peak; next week is a deload specifically because this week is designed to leave you fatigued.</t>
        </is>
      </c>
    </row>
    <row r="147" ht="22" customHeight="1">
      <c r="A147" s="53" t="inlineStr">
        <is>
          <t>#</t>
        </is>
      </c>
      <c r="B147" s="53" t="inlineStr">
        <is>
          <t>Exercise</t>
        </is>
      </c>
      <c r="C147" s="53" t="inlineStr">
        <is>
          <t>Type</t>
        </is>
      </c>
      <c r="D147" s="53" t="inlineStr">
        <is>
          <t>Sets</t>
        </is>
      </c>
      <c r="E147" s="53" t="inlineStr">
        <is>
          <t>Reps</t>
        </is>
      </c>
      <c r="F147" s="53" t="inlineStr">
        <is>
          <t>% TM</t>
        </is>
      </c>
      <c r="G147" s="53" t="inlineStr">
        <is>
          <t>Prescribed Weight</t>
        </is>
      </c>
      <c r="H147" s="53" t="inlineStr">
        <is>
          <t>Target RPE</t>
        </is>
      </c>
      <c r="I147" s="53" t="inlineStr">
        <is>
          <t>Prescription Notes</t>
        </is>
      </c>
      <c r="J147" s="53" t="inlineStr">
        <is>
          <t>Actual Weight</t>
        </is>
      </c>
      <c r="K147" s="53" t="inlineStr">
        <is>
          <t>Actual Reps</t>
        </is>
      </c>
      <c r="L147" s="53" t="inlineStr">
        <is>
          <t>Done?</t>
        </is>
      </c>
    </row>
    <row r="148" ht="20" customHeight="1">
      <c r="A148" s="31" t="n">
        <v>1</v>
      </c>
      <c r="B148" s="32" t="inlineStr">
        <is>
          <t>Squat</t>
        </is>
      </c>
      <c r="C148" s="54" t="inlineStr">
        <is>
          <t>MAIN</t>
        </is>
      </c>
      <c r="D148" s="27" t="n">
        <v>6</v>
      </c>
      <c r="E148" s="27" t="inlineStr">
        <is>
          <t>3</t>
        </is>
      </c>
      <c r="F148" s="34" t="n">
        <v>0.8</v>
      </c>
      <c r="G148" s="35">
        <f>ROUND('Setup &amp; Dashboard'!$E$7*0.8/5, 0)*5</f>
        <v/>
      </c>
      <c r="H148" s="27" t="inlineStr">
        <is>
          <t>RPE 8</t>
        </is>
      </c>
      <c r="I148" s="36" t="inlineStr"/>
      <c r="J148" s="12" t="inlineStr"/>
      <c r="K148" s="8" t="inlineStr"/>
      <c r="L148" s="12" t="inlineStr"/>
    </row>
    <row r="149" ht="20" customHeight="1">
      <c r="A149" s="40" t="n">
        <v>2</v>
      </c>
      <c r="B149" s="30" t="inlineStr">
        <is>
          <t>Bulgarian split squat</t>
        </is>
      </c>
      <c r="C149" s="55" t="inlineStr">
        <is>
          <t>Acc</t>
        </is>
      </c>
      <c r="D149" s="38" t="n">
        <v>2</v>
      </c>
      <c r="E149" s="38" t="inlineStr">
        <is>
          <t>8/leg</t>
        </is>
      </c>
      <c r="F149" s="38" t="inlineStr"/>
      <c r="G149" s="29" t="inlineStr"/>
      <c r="H149" s="40" t="inlineStr"/>
      <c r="I149" s="36" t="inlineStr"/>
      <c r="J149" s="12" t="inlineStr"/>
      <c r="K149" s="8" t="inlineStr"/>
      <c r="L149" s="12" t="inlineStr"/>
    </row>
    <row r="150" ht="20" customHeight="1">
      <c r="A150" s="31" t="n">
        <v>3</v>
      </c>
      <c r="B150" s="30" t="inlineStr">
        <is>
          <t>Leg curl</t>
        </is>
      </c>
      <c r="C150" s="55" t="inlineStr">
        <is>
          <t>Acc</t>
        </is>
      </c>
      <c r="D150" s="29" t="n">
        <v>3</v>
      </c>
      <c r="E150" s="29" t="inlineStr">
        <is>
          <t>10-12</t>
        </is>
      </c>
      <c r="F150" s="29" t="inlineStr"/>
      <c r="G150" s="29" t="inlineStr"/>
      <c r="H150" s="31" t="inlineStr"/>
      <c r="I150" s="36" t="inlineStr"/>
      <c r="J150" s="12" t="inlineStr"/>
      <c r="K150" s="8" t="inlineStr"/>
      <c r="L150" s="12" t="inlineStr"/>
    </row>
    <row r="151" ht="20" customHeight="1">
      <c r="A151" s="40" t="n">
        <v>4</v>
      </c>
      <c r="B151" s="30" t="inlineStr">
        <is>
          <t>Copenhagen plank</t>
        </is>
      </c>
      <c r="C151" s="55" t="inlineStr">
        <is>
          <t>Acc</t>
        </is>
      </c>
      <c r="D151" s="38" t="n">
        <v>3</v>
      </c>
      <c r="E151" s="38" t="inlineStr">
        <is>
          <t>30sec/side</t>
        </is>
      </c>
      <c r="F151" s="38" t="inlineStr"/>
      <c r="G151" s="29" t="inlineStr"/>
      <c r="H151" s="40" t="inlineStr"/>
      <c r="I151" s="36" t="inlineStr"/>
      <c r="J151" s="12" t="inlineStr"/>
      <c r="K151" s="8" t="inlineStr"/>
      <c r="L151" s="12" t="inlineStr"/>
    </row>
    <row r="152"/>
    <row r="153" ht="22" customHeight="1">
      <c r="A153" s="51" t="inlineStr">
        <is>
          <t>Day 2 : Tuesday — Bench</t>
        </is>
      </c>
    </row>
    <row r="154" ht="26" customHeight="1">
      <c r="A154" s="52" t="inlineStr">
        <is>
          <t>💡 Coaching Rationale: Same role as Day 1 — heaviest bench day of the block, RPE 8, 80% TM.</t>
        </is>
      </c>
    </row>
    <row r="155" ht="22" customHeight="1">
      <c r="A155" s="53" t="inlineStr">
        <is>
          <t>#</t>
        </is>
      </c>
      <c r="B155" s="53" t="inlineStr">
        <is>
          <t>Exercise</t>
        </is>
      </c>
      <c r="C155" s="53" t="inlineStr">
        <is>
          <t>Type</t>
        </is>
      </c>
      <c r="D155" s="53" t="inlineStr">
        <is>
          <t>Sets</t>
        </is>
      </c>
      <c r="E155" s="53" t="inlineStr">
        <is>
          <t>Reps</t>
        </is>
      </c>
      <c r="F155" s="53" t="inlineStr">
        <is>
          <t>% TM</t>
        </is>
      </c>
      <c r="G155" s="53" t="inlineStr">
        <is>
          <t>Prescribed Weight</t>
        </is>
      </c>
      <c r="H155" s="53" t="inlineStr">
        <is>
          <t>Target RPE</t>
        </is>
      </c>
      <c r="I155" s="53" t="inlineStr">
        <is>
          <t>Prescription Notes</t>
        </is>
      </c>
      <c r="J155" s="53" t="inlineStr">
        <is>
          <t>Actual Weight</t>
        </is>
      </c>
      <c r="K155" s="53" t="inlineStr">
        <is>
          <t>Actual Reps</t>
        </is>
      </c>
      <c r="L155" s="53" t="inlineStr">
        <is>
          <t>Done?</t>
        </is>
      </c>
    </row>
    <row r="156" ht="20" customHeight="1">
      <c r="A156" s="31" t="n">
        <v>1</v>
      </c>
      <c r="B156" s="32" t="inlineStr">
        <is>
          <t>Bench</t>
        </is>
      </c>
      <c r="C156" s="54" t="inlineStr">
        <is>
          <t>MAIN</t>
        </is>
      </c>
      <c r="D156" s="27" t="n">
        <v>6</v>
      </c>
      <c r="E156" s="27" t="inlineStr">
        <is>
          <t>3</t>
        </is>
      </c>
      <c r="F156" s="34" t="n">
        <v>0.8</v>
      </c>
      <c r="G156" s="35">
        <f>ROUND('Setup &amp; Dashboard'!$E$8*0.8/5, 0)*5</f>
        <v/>
      </c>
      <c r="H156" s="27" t="inlineStr">
        <is>
          <t>RPE 8</t>
        </is>
      </c>
      <c r="I156" s="36" t="inlineStr"/>
      <c r="J156" s="12" t="inlineStr"/>
      <c r="K156" s="8" t="inlineStr"/>
      <c r="L156" s="12" t="inlineStr"/>
    </row>
    <row r="157" ht="20" customHeight="1">
      <c r="A157" s="40" t="n">
        <v>2</v>
      </c>
      <c r="B157" s="30" t="inlineStr">
        <is>
          <t>Close-grip bench</t>
        </is>
      </c>
      <c r="C157" s="55" t="inlineStr">
        <is>
          <t>Acc</t>
        </is>
      </c>
      <c r="D157" s="38" t="n">
        <v>3</v>
      </c>
      <c r="E157" s="38" t="inlineStr">
        <is>
          <t>5</t>
        </is>
      </c>
      <c r="F157" s="38" t="inlineStr"/>
      <c r="G157" s="29" t="inlineStr"/>
      <c r="H157" s="40" t="inlineStr"/>
      <c r="I157" s="36" t="inlineStr"/>
      <c r="J157" s="12" t="inlineStr"/>
      <c r="K157" s="8" t="inlineStr"/>
      <c r="L157" s="12" t="inlineStr"/>
    </row>
    <row r="158" ht="20" customHeight="1">
      <c r="A158" s="31" t="n">
        <v>3</v>
      </c>
      <c r="B158" s="30" t="inlineStr">
        <is>
          <t>Incline DB press</t>
        </is>
      </c>
      <c r="C158" s="55" t="inlineStr">
        <is>
          <t>Acc</t>
        </is>
      </c>
      <c r="D158" s="29" t="n">
        <v>3</v>
      </c>
      <c r="E158" s="29" t="inlineStr">
        <is>
          <t>10</t>
        </is>
      </c>
      <c r="F158" s="29" t="inlineStr"/>
      <c r="G158" s="29" t="inlineStr"/>
      <c r="H158" s="31" t="inlineStr"/>
      <c r="I158" s="36" t="inlineStr"/>
      <c r="J158" s="12" t="inlineStr"/>
      <c r="K158" s="8" t="inlineStr"/>
      <c r="L158" s="12" t="inlineStr"/>
    </row>
    <row r="159" ht="20" customHeight="1">
      <c r="A159" s="40" t="n">
        <v>4</v>
      </c>
      <c r="B159" s="30" t="inlineStr">
        <is>
          <t>Triceps pressdown</t>
        </is>
      </c>
      <c r="C159" s="55" t="inlineStr">
        <is>
          <t>Acc</t>
        </is>
      </c>
      <c r="D159" s="38" t="n">
        <v>3</v>
      </c>
      <c r="E159" s="38" t="inlineStr">
        <is>
          <t>12</t>
        </is>
      </c>
      <c r="F159" s="38" t="inlineStr"/>
      <c r="G159" s="29" t="inlineStr"/>
      <c r="H159" s="40" t="inlineStr"/>
      <c r="I159" s="36" t="inlineStr"/>
      <c r="J159" s="12" t="inlineStr"/>
      <c r="K159" s="8" t="inlineStr"/>
      <c r="L159" s="12" t="inlineStr"/>
    </row>
    <row r="160" ht="20" customHeight="1">
      <c r="A160" s="31" t="n">
        <v>5</v>
      </c>
      <c r="B160" s="30" t="inlineStr">
        <is>
          <t>Face pull</t>
        </is>
      </c>
      <c r="C160" s="55" t="inlineStr">
        <is>
          <t>Acc</t>
        </is>
      </c>
      <c r="D160" s="29" t="n">
        <v>3</v>
      </c>
      <c r="E160" s="29" t="inlineStr">
        <is>
          <t>15</t>
        </is>
      </c>
      <c r="F160" s="29" t="inlineStr"/>
      <c r="G160" s="29" t="inlineStr"/>
      <c r="H160" s="31" t="inlineStr"/>
      <c r="I160" s="36" t="inlineStr"/>
      <c r="J160" s="12" t="inlineStr"/>
      <c r="K160" s="8" t="inlineStr"/>
      <c r="L160" s="12" t="inlineStr"/>
    </row>
    <row r="161"/>
    <row r="162" ht="22" customHeight="1">
      <c r="A162" s="51" t="inlineStr">
        <is>
          <t>Day 3 : Thursday — Deadlift</t>
        </is>
      </c>
    </row>
    <row r="163" ht="64" customHeight="1">
      <c r="A163" s="52" t="inlineStr">
        <is>
          <t>💡 Coaching Rationale: 4x3 @ 80% is the heaviest deadlift session of the block. Notice the paused deadlift accessory disappears this week — deliberately, so total lower-back/grip fatigue doesn't stack on top of the heaviest main-lift day. Farmer's carries stay in since grip needs continuous exposure, but everything else backs off to let the main lift carry the load.</t>
        </is>
      </c>
    </row>
    <row r="164" ht="22" customHeight="1">
      <c r="A164" s="53" t="inlineStr">
        <is>
          <t>#</t>
        </is>
      </c>
      <c r="B164" s="53" t="inlineStr">
        <is>
          <t>Exercise</t>
        </is>
      </c>
      <c r="C164" s="53" t="inlineStr">
        <is>
          <t>Type</t>
        </is>
      </c>
      <c r="D164" s="53" t="inlineStr">
        <is>
          <t>Sets</t>
        </is>
      </c>
      <c r="E164" s="53" t="inlineStr">
        <is>
          <t>Reps</t>
        </is>
      </c>
      <c r="F164" s="53" t="inlineStr">
        <is>
          <t>% TM</t>
        </is>
      </c>
      <c r="G164" s="53" t="inlineStr">
        <is>
          <t>Prescribed Weight</t>
        </is>
      </c>
      <c r="H164" s="53" t="inlineStr">
        <is>
          <t>Target RPE</t>
        </is>
      </c>
      <c r="I164" s="53" t="inlineStr">
        <is>
          <t>Prescription Notes</t>
        </is>
      </c>
      <c r="J164" s="53" t="inlineStr">
        <is>
          <t>Actual Weight</t>
        </is>
      </c>
      <c r="K164" s="53" t="inlineStr">
        <is>
          <t>Actual Reps</t>
        </is>
      </c>
      <c r="L164" s="53" t="inlineStr">
        <is>
          <t>Done?</t>
        </is>
      </c>
    </row>
    <row r="165" ht="20" customHeight="1">
      <c r="A165" s="31" t="n">
        <v>1</v>
      </c>
      <c r="B165" s="32" t="inlineStr">
        <is>
          <t>Deadlift</t>
        </is>
      </c>
      <c r="C165" s="54" t="inlineStr">
        <is>
          <t>MAIN</t>
        </is>
      </c>
      <c r="D165" s="27" t="n">
        <v>4</v>
      </c>
      <c r="E165" s="27" t="inlineStr">
        <is>
          <t>3</t>
        </is>
      </c>
      <c r="F165" s="34" t="n">
        <v>0.8</v>
      </c>
      <c r="G165" s="35">
        <f>ROUND('Setup &amp; Dashboard'!$E$9*0.8/5, 0)*5</f>
        <v/>
      </c>
      <c r="H165" s="27" t="inlineStr">
        <is>
          <t>RPE 8</t>
        </is>
      </c>
      <c r="I165" s="36" t="inlineStr"/>
      <c r="J165" s="12" t="inlineStr"/>
      <c r="K165" s="8" t="inlineStr"/>
      <c r="L165" s="12" t="inlineStr"/>
    </row>
    <row r="166" ht="20" customHeight="1">
      <c r="A166" s="31" t="n">
        <v>2</v>
      </c>
      <c r="B166" s="30" t="inlineStr">
        <is>
          <t>Farmer's carry</t>
        </is>
      </c>
      <c r="C166" s="55" t="inlineStr">
        <is>
          <t>Acc</t>
        </is>
      </c>
      <c r="D166" s="29" t="n">
        <v>3</v>
      </c>
      <c r="E166" s="29" t="inlineStr">
        <is>
          <t>30-40m</t>
        </is>
      </c>
      <c r="F166" s="29" t="inlineStr"/>
      <c r="G166" s="29" t="inlineStr"/>
      <c r="H166" s="31" t="inlineStr"/>
      <c r="I166" s="42" t="inlineStr">
        <is>
          <t>paused deadlift dropped here — heaviest accumulation week</t>
        </is>
      </c>
      <c r="J166" s="12" t="inlineStr"/>
      <c r="K166" s="8" t="inlineStr"/>
      <c r="L166" s="12" t="inlineStr"/>
    </row>
    <row r="167" ht="20" customHeight="1">
      <c r="A167" s="40" t="n">
        <v>3</v>
      </c>
      <c r="B167" s="30" t="inlineStr">
        <is>
          <t>Reverse hyper</t>
        </is>
      </c>
      <c r="C167" s="55" t="inlineStr">
        <is>
          <t>Acc</t>
        </is>
      </c>
      <c r="D167" s="38" t="n">
        <v>2</v>
      </c>
      <c r="E167" s="38" t="inlineStr">
        <is>
          <t>15</t>
        </is>
      </c>
      <c r="F167" s="38" t="inlineStr"/>
      <c r="G167" s="29" t="inlineStr"/>
      <c r="H167" s="40" t="inlineStr"/>
      <c r="I167" s="36" t="inlineStr"/>
      <c r="J167" s="12" t="inlineStr"/>
      <c r="K167" s="8" t="inlineStr"/>
      <c r="L167" s="12" t="inlineStr"/>
    </row>
    <row r="168" ht="20" customHeight="1">
      <c r="A168" s="31" t="n">
        <v>4</v>
      </c>
      <c r="B168" s="30" t="inlineStr">
        <is>
          <t>Jefferson curl</t>
        </is>
      </c>
      <c r="C168" s="55" t="inlineStr">
        <is>
          <t>Acc</t>
        </is>
      </c>
      <c r="D168" s="29" t="n">
        <v>2</v>
      </c>
      <c r="E168" s="29" t="inlineStr">
        <is>
          <t>8</t>
        </is>
      </c>
      <c r="F168" s="29" t="inlineStr"/>
      <c r="G168" s="29" t="inlineStr"/>
      <c r="H168" s="31" t="inlineStr"/>
      <c r="I168" s="36" t="inlineStr"/>
      <c r="J168" s="12" t="inlineStr"/>
      <c r="K168" s="8" t="inlineStr"/>
      <c r="L168" s="12" t="inlineStr"/>
    </row>
    <row r="169"/>
    <row r="170" ht="22" customHeight="1">
      <c r="A170" s="51" t="inlineStr">
        <is>
          <t>Day 4 : Friday — Bench variant / upper body</t>
        </is>
      </c>
    </row>
    <row r="171" ht="48" customHeight="1">
      <c r="A171" s="52" t="inlineStr">
        <is>
          <t>💡 Coaching Rationale: Volume on the accessories actually drops slightly this week (rows, pulldowns) — a quiet signal that fatigue is accumulating across the week and this day should feel like recovery relative to Monday and Tuesday, not another hard push.</t>
        </is>
      </c>
    </row>
    <row r="172" ht="22" customHeight="1">
      <c r="A172" s="53" t="inlineStr">
        <is>
          <t>#</t>
        </is>
      </c>
      <c r="B172" s="53" t="inlineStr">
        <is>
          <t>Exercise</t>
        </is>
      </c>
      <c r="C172" s="53" t="inlineStr">
        <is>
          <t>Type</t>
        </is>
      </c>
      <c r="D172" s="53" t="inlineStr">
        <is>
          <t>Sets</t>
        </is>
      </c>
      <c r="E172" s="53" t="inlineStr">
        <is>
          <t>Reps</t>
        </is>
      </c>
      <c r="F172" s="53" t="inlineStr">
        <is>
          <t>% TM</t>
        </is>
      </c>
      <c r="G172" s="53" t="inlineStr">
        <is>
          <t>Prescribed Weight</t>
        </is>
      </c>
      <c r="H172" s="53" t="inlineStr">
        <is>
          <t>Target RPE</t>
        </is>
      </c>
      <c r="I172" s="53" t="inlineStr">
        <is>
          <t>Prescription Notes</t>
        </is>
      </c>
      <c r="J172" s="53" t="inlineStr">
        <is>
          <t>Actual Weight</t>
        </is>
      </c>
      <c r="K172" s="53" t="inlineStr">
        <is>
          <t>Actual Reps</t>
        </is>
      </c>
      <c r="L172" s="53" t="inlineStr">
        <is>
          <t>Done?</t>
        </is>
      </c>
    </row>
    <row r="173" ht="20" customHeight="1">
      <c r="A173" s="31" t="n">
        <v>1</v>
      </c>
      <c r="B173" s="32" t="inlineStr">
        <is>
          <t>Tempo bench</t>
        </is>
      </c>
      <c r="C173" s="54" t="inlineStr">
        <is>
          <t>MAIN</t>
        </is>
      </c>
      <c r="D173" s="27" t="n">
        <v>4</v>
      </c>
      <c r="E173" s="27" t="inlineStr">
        <is>
          <t>3</t>
        </is>
      </c>
      <c r="F173" s="34" t="n">
        <v>0.65</v>
      </c>
      <c r="G173" s="35">
        <f>ROUND('Setup &amp; Dashboard'!$E$8*0.65/5, 0)*5</f>
        <v/>
      </c>
      <c r="H173" s="27" t="inlineStr">
        <is>
          <t>RPE 7</t>
        </is>
      </c>
      <c r="I173" s="36" t="inlineStr"/>
      <c r="J173" s="12" t="inlineStr"/>
      <c r="K173" s="8" t="inlineStr"/>
      <c r="L173" s="12" t="inlineStr"/>
    </row>
    <row r="174" ht="20" customHeight="1">
      <c r="A174" s="31" t="n">
        <v>2</v>
      </c>
      <c r="B174" s="30" t="inlineStr">
        <is>
          <t>Chest-supported row</t>
        </is>
      </c>
      <c r="C174" s="55" t="inlineStr">
        <is>
          <t>Acc</t>
        </is>
      </c>
      <c r="D174" s="29" t="n">
        <v>4</v>
      </c>
      <c r="E174" s="29" t="inlineStr">
        <is>
          <t>8-10</t>
        </is>
      </c>
      <c r="F174" s="29" t="inlineStr"/>
      <c r="G174" s="29" t="inlineStr"/>
      <c r="H174" s="31" t="inlineStr"/>
      <c r="I174" s="36" t="inlineStr"/>
      <c r="J174" s="12" t="inlineStr"/>
      <c r="K174" s="8" t="inlineStr"/>
      <c r="L174" s="12" t="inlineStr"/>
    </row>
    <row r="175" ht="20" customHeight="1">
      <c r="A175" s="40" t="n">
        <v>3</v>
      </c>
      <c r="B175" s="30" t="inlineStr">
        <is>
          <t>Lat pulldown</t>
        </is>
      </c>
      <c r="C175" s="55" t="inlineStr">
        <is>
          <t>Acc</t>
        </is>
      </c>
      <c r="D175" s="38" t="n">
        <v>3</v>
      </c>
      <c r="E175" s="38" t="inlineStr">
        <is>
          <t>10-12</t>
        </is>
      </c>
      <c r="F175" s="38" t="inlineStr"/>
      <c r="G175" s="29" t="inlineStr"/>
      <c r="H175" s="40" t="inlineStr"/>
      <c r="I175" s="36" t="inlineStr"/>
      <c r="J175" s="12" t="inlineStr"/>
      <c r="K175" s="8" t="inlineStr"/>
      <c r="L175" s="12" t="inlineStr"/>
    </row>
    <row r="176" ht="20" customHeight="1">
      <c r="A176" s="31" t="n">
        <v>4</v>
      </c>
      <c r="B176" s="30" t="inlineStr">
        <is>
          <t>Lateral raise</t>
        </is>
      </c>
      <c r="C176" s="55" t="inlineStr">
        <is>
          <t>Acc</t>
        </is>
      </c>
      <c r="D176" s="29" t="n">
        <v>3</v>
      </c>
      <c r="E176" s="29" t="inlineStr">
        <is>
          <t>15</t>
        </is>
      </c>
      <c r="F176" s="29" t="inlineStr"/>
      <c r="G176" s="29" t="inlineStr"/>
      <c r="H176" s="31" t="inlineStr"/>
      <c r="I176" s="36" t="inlineStr"/>
      <c r="J176" s="12" t="inlineStr"/>
      <c r="K176" s="8" t="inlineStr"/>
      <c r="L176" s="12" t="inlineStr"/>
    </row>
    <row r="177" ht="20" customHeight="1">
      <c r="A177" s="40" t="n">
        <v>5</v>
      </c>
      <c r="B177" s="30" t="inlineStr">
        <is>
          <t>Curl</t>
        </is>
      </c>
      <c r="C177" s="55" t="inlineStr">
        <is>
          <t>Acc</t>
        </is>
      </c>
      <c r="D177" s="38" t="n">
        <v>3</v>
      </c>
      <c r="E177" s="38" t="inlineStr">
        <is>
          <t>12</t>
        </is>
      </c>
      <c r="F177" s="38" t="inlineStr"/>
      <c r="G177" s="29" t="inlineStr"/>
      <c r="H177" s="40" t="inlineStr"/>
      <c r="I177" s="36" t="inlineStr"/>
      <c r="J177" s="12" t="inlineStr"/>
      <c r="K177" s="8" t="inlineStr"/>
      <c r="L177" s="12" t="inlineStr"/>
    </row>
    <row r="178" ht="20" customHeight="1">
      <c r="A178" s="31" t="n">
        <v>6</v>
      </c>
      <c r="B178" s="30" t="inlineStr">
        <is>
          <t>Pallof press</t>
        </is>
      </c>
      <c r="C178" s="55" t="inlineStr">
        <is>
          <t>Acc</t>
        </is>
      </c>
      <c r="D178" s="29" t="n">
        <v>3</v>
      </c>
      <c r="E178" s="29" t="inlineStr">
        <is>
          <t>10/side</t>
        </is>
      </c>
      <c r="F178" s="29" t="inlineStr"/>
      <c r="G178" s="29" t="inlineStr"/>
      <c r="H178" s="31" t="inlineStr"/>
      <c r="I178" s="36" t="inlineStr"/>
      <c r="J178" s="12" t="inlineStr"/>
      <c r="K178" s="8" t="inlineStr"/>
      <c r="L178" s="12" t="inlineStr"/>
    </row>
    <row r="179"/>
    <row r="180" ht="22" customHeight="1">
      <c r="A180" s="51" t="inlineStr">
        <is>
          <t>Day 5 : Saturday — Squat variant + Rack Pull</t>
        </is>
      </c>
    </row>
    <row r="181" ht="48" customHeight="1">
      <c r="A181" s="52" t="inlineStr">
        <is>
          <t>💡 Coaching Rationale: Rack pull hits 5x3 @ 78%, its heaviest accumulation-block session. Coming the day after the week's other heavy work, this is the day fatigue is highest — RPE 8 here should feel harder than the same RPE 8 felt in Week 1.</t>
        </is>
      </c>
    </row>
    <row r="182" ht="22" customHeight="1">
      <c r="A182" s="53" t="inlineStr">
        <is>
          <t>#</t>
        </is>
      </c>
      <c r="B182" s="53" t="inlineStr">
        <is>
          <t>Exercise</t>
        </is>
      </c>
      <c r="C182" s="53" t="inlineStr">
        <is>
          <t>Type</t>
        </is>
      </c>
      <c r="D182" s="53" t="inlineStr">
        <is>
          <t>Sets</t>
        </is>
      </c>
      <c r="E182" s="53" t="inlineStr">
        <is>
          <t>Reps</t>
        </is>
      </c>
      <c r="F182" s="53" t="inlineStr">
        <is>
          <t>% TM</t>
        </is>
      </c>
      <c r="G182" s="53" t="inlineStr">
        <is>
          <t>Prescribed Weight</t>
        </is>
      </c>
      <c r="H182" s="53" t="inlineStr">
        <is>
          <t>Target RPE</t>
        </is>
      </c>
      <c r="I182" s="53" t="inlineStr">
        <is>
          <t>Prescription Notes</t>
        </is>
      </c>
      <c r="J182" s="53" t="inlineStr">
        <is>
          <t>Actual Weight</t>
        </is>
      </c>
      <c r="K182" s="53" t="inlineStr">
        <is>
          <t>Actual Reps</t>
        </is>
      </c>
      <c r="L182" s="53" t="inlineStr">
        <is>
          <t>Done?</t>
        </is>
      </c>
    </row>
    <row r="183" ht="20" customHeight="1">
      <c r="A183" s="31" t="n">
        <v>1</v>
      </c>
      <c r="B183" s="32" t="inlineStr">
        <is>
          <t>Paused squat</t>
        </is>
      </c>
      <c r="C183" s="54" t="inlineStr">
        <is>
          <t>MAIN</t>
        </is>
      </c>
      <c r="D183" s="27" t="n">
        <v>3</v>
      </c>
      <c r="E183" s="27" t="inlineStr">
        <is>
          <t>3</t>
        </is>
      </c>
      <c r="F183" s="34" t="n">
        <v>0.72</v>
      </c>
      <c r="G183" s="35">
        <f>ROUND('Setup &amp; Dashboard'!$E$7*0.72/5, 0)*5</f>
        <v/>
      </c>
      <c r="H183" s="27" t="inlineStr">
        <is>
          <t>RPE 7-8</t>
        </is>
      </c>
      <c r="I183" s="36" t="inlineStr"/>
      <c r="J183" s="12" t="inlineStr"/>
      <c r="K183" s="8" t="inlineStr"/>
      <c r="L183" s="12" t="inlineStr"/>
    </row>
    <row r="184" ht="20" customHeight="1">
      <c r="A184" s="31" t="n">
        <v>2</v>
      </c>
      <c r="B184" s="32" t="inlineStr">
        <is>
          <t>Rack pull</t>
        </is>
      </c>
      <c r="C184" s="54" t="inlineStr">
        <is>
          <t>MAIN</t>
        </is>
      </c>
      <c r="D184" s="27" t="n">
        <v>5</v>
      </c>
      <c r="E184" s="27" t="inlineStr">
        <is>
          <t>3</t>
        </is>
      </c>
      <c r="F184" s="34" t="n">
        <v>0.78</v>
      </c>
      <c r="G184" s="35">
        <f>ROUND('Setup &amp; Dashboard'!$E$10*0.78/5, 0)*5</f>
        <v/>
      </c>
      <c r="H184" s="27" t="inlineStr">
        <is>
          <t>RPE 8</t>
        </is>
      </c>
      <c r="I184" s="36" t="inlineStr"/>
      <c r="J184" s="12" t="inlineStr"/>
      <c r="K184" s="8" t="inlineStr"/>
      <c r="L184" s="12" t="inlineStr"/>
    </row>
    <row r="185" ht="20" customHeight="1">
      <c r="A185" s="40" t="n">
        <v>3</v>
      </c>
      <c r="B185" s="30" t="inlineStr">
        <is>
          <t>Reverse hyper</t>
        </is>
      </c>
      <c r="C185" s="55" t="inlineStr">
        <is>
          <t>Acc</t>
        </is>
      </c>
      <c r="D185" s="38" t="n">
        <v>2</v>
      </c>
      <c r="E185" s="38" t="inlineStr">
        <is>
          <t>12</t>
        </is>
      </c>
      <c r="F185" s="38" t="inlineStr"/>
      <c r="G185" s="29" t="inlineStr"/>
      <c r="H185" s="40" t="inlineStr"/>
      <c r="I185" s="36" t="inlineStr"/>
      <c r="J185" s="12" t="inlineStr"/>
      <c r="K185" s="8" t="inlineStr"/>
      <c r="L185" s="12" t="inlineStr"/>
    </row>
    <row r="186" ht="20" customHeight="1">
      <c r="A186" s="31" t="n">
        <v>4</v>
      </c>
      <c r="B186" s="30" t="inlineStr">
        <is>
          <t>GHR or Nordic curl</t>
        </is>
      </c>
      <c r="C186" s="55" t="inlineStr">
        <is>
          <t>Acc</t>
        </is>
      </c>
      <c r="D186" s="29" t="n">
        <v>3</v>
      </c>
      <c r="E186" s="29" t="inlineStr">
        <is>
          <t>8</t>
        </is>
      </c>
      <c r="F186" s="29" t="inlineStr"/>
      <c r="G186" s="29" t="inlineStr"/>
      <c r="H186" s="31" t="inlineStr"/>
      <c r="I186" s="36" t="inlineStr"/>
      <c r="J186" s="12" t="inlineStr"/>
      <c r="K186" s="8" t="inlineStr"/>
      <c r="L186" s="12" t="inlineStr"/>
    </row>
    <row r="187"/>
    <row r="188"/>
    <row r="189" ht="26" customHeight="1">
      <c r="A189" s="57" t="inlineStr">
        <is>
          <t>WEEK 5 — DELOAD</t>
        </is>
      </c>
    </row>
    <row r="190" ht="22" customHeight="1">
      <c r="A190" s="51" t="inlineStr">
        <is>
          <t>Day 1 : Monday — Squat</t>
        </is>
      </c>
    </row>
    <row r="191" ht="48" customHeight="1">
      <c r="A191" s="52" t="inlineStr">
        <is>
          <t>💡 Coaching Rationale: Everything drops to 60% TM, RPE 6. The point of this week isn't to train — it's to let the four weeks of accumulated fatigue actually dissipate so Week 6 starts from a rested state. Resist the urge to push harder than prescribed; undermining the deload undermines the whole next block.</t>
        </is>
      </c>
    </row>
    <row r="192" ht="22" customHeight="1">
      <c r="A192" s="53" t="inlineStr">
        <is>
          <t>#</t>
        </is>
      </c>
      <c r="B192" s="53" t="inlineStr">
        <is>
          <t>Exercise</t>
        </is>
      </c>
      <c r="C192" s="53" t="inlineStr">
        <is>
          <t>Type</t>
        </is>
      </c>
      <c r="D192" s="53" t="inlineStr">
        <is>
          <t>Sets</t>
        </is>
      </c>
      <c r="E192" s="53" t="inlineStr">
        <is>
          <t>Reps</t>
        </is>
      </c>
      <c r="F192" s="53" t="inlineStr">
        <is>
          <t>% TM</t>
        </is>
      </c>
      <c r="G192" s="53" t="inlineStr">
        <is>
          <t>Prescribed Weight</t>
        </is>
      </c>
      <c r="H192" s="53" t="inlineStr">
        <is>
          <t>Target RPE</t>
        </is>
      </c>
      <c r="I192" s="53" t="inlineStr">
        <is>
          <t>Prescription Notes</t>
        </is>
      </c>
      <c r="J192" s="53" t="inlineStr">
        <is>
          <t>Actual Weight</t>
        </is>
      </c>
      <c r="K192" s="53" t="inlineStr">
        <is>
          <t>Actual Reps</t>
        </is>
      </c>
      <c r="L192" s="53" t="inlineStr">
        <is>
          <t>Done?</t>
        </is>
      </c>
    </row>
    <row r="193" ht="20" customHeight="1">
      <c r="A193" s="31" t="n">
        <v>1</v>
      </c>
      <c r="B193" s="32" t="inlineStr">
        <is>
          <t>Squat</t>
        </is>
      </c>
      <c r="C193" s="54" t="inlineStr">
        <is>
          <t>MAIN</t>
        </is>
      </c>
      <c r="D193" s="27" t="n">
        <v>3</v>
      </c>
      <c r="E193" s="27" t="inlineStr">
        <is>
          <t>3</t>
        </is>
      </c>
      <c r="F193" s="34" t="n">
        <v>0.6</v>
      </c>
      <c r="G193" s="35">
        <f>ROUND('Setup &amp; Dashboard'!$E$7*0.6/5, 0)*5</f>
        <v/>
      </c>
      <c r="H193" s="27" t="inlineStr">
        <is>
          <t>RPE 6</t>
        </is>
      </c>
      <c r="I193" s="36" t="inlineStr"/>
      <c r="J193" s="12" t="inlineStr"/>
      <c r="K193" s="8" t="inlineStr"/>
      <c r="L193" s="12" t="inlineStr"/>
    </row>
    <row r="194" ht="20" customHeight="1">
      <c r="A194" s="31" t="n">
        <v>2</v>
      </c>
      <c r="B194" s="30" t="inlineStr">
        <is>
          <t>Split squat</t>
        </is>
      </c>
      <c r="C194" s="55" t="inlineStr">
        <is>
          <t>Acc</t>
        </is>
      </c>
      <c r="D194" s="29" t="n">
        <v>2</v>
      </c>
      <c r="E194" s="29" t="inlineStr">
        <is>
          <t>8/leg</t>
        </is>
      </c>
      <c r="F194" s="29" t="inlineStr"/>
      <c r="G194" s="29" t="inlineStr"/>
      <c r="H194" s="31" t="inlineStr"/>
      <c r="I194" s="36" t="inlineStr"/>
      <c r="J194" s="12" t="inlineStr"/>
      <c r="K194" s="8" t="inlineStr"/>
      <c r="L194" s="12" t="inlineStr"/>
    </row>
    <row r="195" ht="20" customHeight="1">
      <c r="A195" s="40" t="n">
        <v>3</v>
      </c>
      <c r="B195" s="30" t="inlineStr">
        <is>
          <t>Leg curl</t>
        </is>
      </c>
      <c r="C195" s="55" t="inlineStr">
        <is>
          <t>Acc</t>
        </is>
      </c>
      <c r="D195" s="38" t="n">
        <v>2</v>
      </c>
      <c r="E195" s="38" t="inlineStr">
        <is>
          <t>10</t>
        </is>
      </c>
      <c r="F195" s="38" t="inlineStr"/>
      <c r="G195" s="29" t="inlineStr"/>
      <c r="H195" s="40" t="inlineStr"/>
      <c r="I195" s="36" t="inlineStr"/>
      <c r="J195" s="12" t="inlineStr"/>
      <c r="K195" s="8" t="inlineStr"/>
      <c r="L195" s="12" t="inlineStr"/>
    </row>
    <row r="196" ht="20" customHeight="1">
      <c r="A196" s="31" t="n">
        <v>4</v>
      </c>
      <c r="B196" s="30" t="inlineStr">
        <is>
          <t>Copenhagen plank</t>
        </is>
      </c>
      <c r="C196" s="55" t="inlineStr">
        <is>
          <t>Acc</t>
        </is>
      </c>
      <c r="D196" s="29" t="n">
        <v>2</v>
      </c>
      <c r="E196" s="29" t="inlineStr">
        <is>
          <t>15sec/side</t>
        </is>
      </c>
      <c r="F196" s="29" t="inlineStr"/>
      <c r="G196" s="29" t="inlineStr"/>
      <c r="H196" s="31" t="inlineStr"/>
      <c r="I196" s="36" t="inlineStr"/>
      <c r="J196" s="12" t="inlineStr"/>
      <c r="K196" s="8" t="inlineStr"/>
      <c r="L196" s="12" t="inlineStr"/>
    </row>
    <row r="197"/>
    <row r="198" ht="22" customHeight="1">
      <c r="A198" s="51" t="inlineStr">
        <is>
          <t>Day 2 : Tuesday — Bench</t>
        </is>
      </c>
    </row>
    <row r="199" ht="26" customHeight="1">
      <c r="A199" s="52" t="inlineStr">
        <is>
          <t>💡 Coaching Rationale: Same logic, same intensity drop.</t>
        </is>
      </c>
    </row>
    <row r="200" ht="22" customHeight="1">
      <c r="A200" s="53" t="inlineStr">
        <is>
          <t>#</t>
        </is>
      </c>
      <c r="B200" s="53" t="inlineStr">
        <is>
          <t>Exercise</t>
        </is>
      </c>
      <c r="C200" s="53" t="inlineStr">
        <is>
          <t>Type</t>
        </is>
      </c>
      <c r="D200" s="53" t="inlineStr">
        <is>
          <t>Sets</t>
        </is>
      </c>
      <c r="E200" s="53" t="inlineStr">
        <is>
          <t>Reps</t>
        </is>
      </c>
      <c r="F200" s="53" t="inlineStr">
        <is>
          <t>% TM</t>
        </is>
      </c>
      <c r="G200" s="53" t="inlineStr">
        <is>
          <t>Prescribed Weight</t>
        </is>
      </c>
      <c r="H200" s="53" t="inlineStr">
        <is>
          <t>Target RPE</t>
        </is>
      </c>
      <c r="I200" s="53" t="inlineStr">
        <is>
          <t>Prescription Notes</t>
        </is>
      </c>
      <c r="J200" s="53" t="inlineStr">
        <is>
          <t>Actual Weight</t>
        </is>
      </c>
      <c r="K200" s="53" t="inlineStr">
        <is>
          <t>Actual Reps</t>
        </is>
      </c>
      <c r="L200" s="53" t="inlineStr">
        <is>
          <t>Done?</t>
        </is>
      </c>
    </row>
    <row r="201" ht="20" customHeight="1">
      <c r="A201" s="31" t="n">
        <v>1</v>
      </c>
      <c r="B201" s="32" t="inlineStr">
        <is>
          <t>Bench</t>
        </is>
      </c>
      <c r="C201" s="54" t="inlineStr">
        <is>
          <t>MAIN</t>
        </is>
      </c>
      <c r="D201" s="27" t="n">
        <v>3</v>
      </c>
      <c r="E201" s="27" t="inlineStr">
        <is>
          <t>3</t>
        </is>
      </c>
      <c r="F201" s="34" t="n">
        <v>0.6</v>
      </c>
      <c r="G201" s="35">
        <f>ROUND('Setup &amp; Dashboard'!$E$8*0.6/5, 0)*5</f>
        <v/>
      </c>
      <c r="H201" s="27" t="inlineStr">
        <is>
          <t>RPE 6</t>
        </is>
      </c>
      <c r="I201" s="36" t="inlineStr"/>
      <c r="J201" s="12" t="inlineStr"/>
      <c r="K201" s="8" t="inlineStr"/>
      <c r="L201" s="12" t="inlineStr"/>
    </row>
    <row r="202" ht="20" customHeight="1">
      <c r="A202" s="31" t="n">
        <v>2</v>
      </c>
      <c r="B202" s="30" t="inlineStr">
        <is>
          <t>Close-grip bench</t>
        </is>
      </c>
      <c r="C202" s="55" t="inlineStr">
        <is>
          <t>Acc</t>
        </is>
      </c>
      <c r="D202" s="29" t="n">
        <v>2</v>
      </c>
      <c r="E202" s="29" t="inlineStr">
        <is>
          <t>5</t>
        </is>
      </c>
      <c r="F202" s="29" t="inlineStr"/>
      <c r="G202" s="29" t="inlineStr"/>
      <c r="H202" s="31" t="inlineStr"/>
      <c r="I202" s="36" t="inlineStr"/>
      <c r="J202" s="12" t="inlineStr"/>
      <c r="K202" s="8" t="inlineStr"/>
      <c r="L202" s="12" t="inlineStr"/>
    </row>
    <row r="203" ht="20" customHeight="1">
      <c r="A203" s="40" t="n">
        <v>3</v>
      </c>
      <c r="B203" s="30" t="inlineStr">
        <is>
          <t>Incline DB press</t>
        </is>
      </c>
      <c r="C203" s="55" t="inlineStr">
        <is>
          <t>Acc</t>
        </is>
      </c>
      <c r="D203" s="38" t="n">
        <v>2</v>
      </c>
      <c r="E203" s="38" t="inlineStr">
        <is>
          <t>10</t>
        </is>
      </c>
      <c r="F203" s="38" t="inlineStr"/>
      <c r="G203" s="29" t="inlineStr"/>
      <c r="H203" s="40" t="inlineStr"/>
      <c r="I203" s="36" t="inlineStr"/>
      <c r="J203" s="12" t="inlineStr"/>
      <c r="K203" s="8" t="inlineStr"/>
      <c r="L203" s="12" t="inlineStr"/>
    </row>
    <row r="204" ht="20" customHeight="1">
      <c r="A204" s="31" t="n">
        <v>4</v>
      </c>
      <c r="B204" s="30" t="inlineStr">
        <is>
          <t>Face pull</t>
        </is>
      </c>
      <c r="C204" s="55" t="inlineStr">
        <is>
          <t>Acc</t>
        </is>
      </c>
      <c r="D204" s="29" t="n">
        <v>2</v>
      </c>
      <c r="E204" s="29" t="inlineStr">
        <is>
          <t>15</t>
        </is>
      </c>
      <c r="F204" s="29" t="inlineStr"/>
      <c r="G204" s="29" t="inlineStr"/>
      <c r="H204" s="31" t="inlineStr"/>
      <c r="I204" s="36" t="inlineStr"/>
      <c r="J204" s="12" t="inlineStr"/>
      <c r="K204" s="8" t="inlineStr"/>
      <c r="L204" s="12" t="inlineStr"/>
    </row>
    <row r="205" ht="20" customHeight="1">
      <c r="A205" s="40" t="n">
        <v>5</v>
      </c>
      <c r="B205" s="30" t="inlineStr">
        <is>
          <t>Pallof press</t>
        </is>
      </c>
      <c r="C205" s="55" t="inlineStr">
        <is>
          <t>Acc</t>
        </is>
      </c>
      <c r="D205" s="38" t="n">
        <v>2</v>
      </c>
      <c r="E205" s="38" t="inlineStr">
        <is>
          <t>8/side</t>
        </is>
      </c>
      <c r="F205" s="38" t="inlineStr"/>
      <c r="G205" s="29" t="inlineStr"/>
      <c r="H205" s="40" t="inlineStr"/>
      <c r="I205" s="36" t="inlineStr"/>
      <c r="J205" s="12" t="inlineStr"/>
      <c r="K205" s="8" t="inlineStr"/>
      <c r="L205" s="12" t="inlineStr"/>
    </row>
    <row r="206"/>
    <row r="207" ht="22" customHeight="1">
      <c r="A207" s="51" t="inlineStr">
        <is>
          <t>Day 3 : Thursday — Deadlift</t>
        </is>
      </c>
    </row>
    <row r="208" ht="32" customHeight="1">
      <c r="A208" s="52" t="inlineStr">
        <is>
          <t>💡 Coaching Rationale: Lightest deadlift session in the program (55% TM) — deadlift accumulates the most systemic fatigue of the three lifts, so it gets the biggest relative intensity drop during deload.</t>
        </is>
      </c>
    </row>
    <row r="209" ht="22" customHeight="1">
      <c r="A209" s="53" t="inlineStr">
        <is>
          <t>#</t>
        </is>
      </c>
      <c r="B209" s="53" t="inlineStr">
        <is>
          <t>Exercise</t>
        </is>
      </c>
      <c r="C209" s="53" t="inlineStr">
        <is>
          <t>Type</t>
        </is>
      </c>
      <c r="D209" s="53" t="inlineStr">
        <is>
          <t>Sets</t>
        </is>
      </c>
      <c r="E209" s="53" t="inlineStr">
        <is>
          <t>Reps</t>
        </is>
      </c>
      <c r="F209" s="53" t="inlineStr">
        <is>
          <t>% TM</t>
        </is>
      </c>
      <c r="G209" s="53" t="inlineStr">
        <is>
          <t>Prescribed Weight</t>
        </is>
      </c>
      <c r="H209" s="53" t="inlineStr">
        <is>
          <t>Target RPE</t>
        </is>
      </c>
      <c r="I209" s="53" t="inlineStr">
        <is>
          <t>Prescription Notes</t>
        </is>
      </c>
      <c r="J209" s="53" t="inlineStr">
        <is>
          <t>Actual Weight</t>
        </is>
      </c>
      <c r="K209" s="53" t="inlineStr">
        <is>
          <t>Actual Reps</t>
        </is>
      </c>
      <c r="L209" s="53" t="inlineStr">
        <is>
          <t>Done?</t>
        </is>
      </c>
    </row>
    <row r="210" ht="20" customHeight="1">
      <c r="A210" s="31" t="n">
        <v>1</v>
      </c>
      <c r="B210" s="32" t="inlineStr">
        <is>
          <t>Deadlift</t>
        </is>
      </c>
      <c r="C210" s="54" t="inlineStr">
        <is>
          <t>MAIN</t>
        </is>
      </c>
      <c r="D210" s="27" t="n">
        <v>2</v>
      </c>
      <c r="E210" s="27" t="inlineStr">
        <is>
          <t>3</t>
        </is>
      </c>
      <c r="F210" s="34" t="n">
        <v>0.55</v>
      </c>
      <c r="G210" s="35">
        <f>ROUND('Setup &amp; Dashboard'!$E$9*0.55/5, 0)*5</f>
        <v/>
      </c>
      <c r="H210" s="27" t="inlineStr">
        <is>
          <t>RPE 6</t>
        </is>
      </c>
      <c r="I210" s="36" t="inlineStr"/>
      <c r="J210" s="12" t="inlineStr"/>
      <c r="K210" s="8" t="inlineStr"/>
      <c r="L210" s="12" t="inlineStr"/>
    </row>
    <row r="211" ht="20" customHeight="1">
      <c r="A211" s="40" t="n">
        <v>2</v>
      </c>
      <c r="B211" s="30" t="inlineStr">
        <is>
          <t>Reverse hyper</t>
        </is>
      </c>
      <c r="C211" s="55" t="inlineStr">
        <is>
          <t>Acc</t>
        </is>
      </c>
      <c r="D211" s="38" t="n">
        <v>2</v>
      </c>
      <c r="E211" s="38" t="inlineStr">
        <is>
          <t>12</t>
        </is>
      </c>
      <c r="F211" s="38" t="inlineStr"/>
      <c r="G211" s="29" t="inlineStr"/>
      <c r="H211" s="40" t="inlineStr"/>
      <c r="I211" s="36" t="inlineStr"/>
      <c r="J211" s="12" t="inlineStr"/>
      <c r="K211" s="8" t="inlineStr"/>
      <c r="L211" s="12" t="inlineStr"/>
    </row>
    <row r="212" ht="20" customHeight="1">
      <c r="A212" s="31" t="n">
        <v>3</v>
      </c>
      <c r="B212" s="30" t="inlineStr">
        <is>
          <t>Jefferson curl</t>
        </is>
      </c>
      <c r="C212" s="55" t="inlineStr">
        <is>
          <t>Acc</t>
        </is>
      </c>
      <c r="D212" s="29" t="n">
        <v>1</v>
      </c>
      <c r="E212" s="29" t="inlineStr">
        <is>
          <t>6</t>
        </is>
      </c>
      <c r="F212" s="29" t="inlineStr"/>
      <c r="G212" s="29" t="inlineStr"/>
      <c r="H212" s="31" t="inlineStr"/>
      <c r="I212" s="36" t="inlineStr"/>
      <c r="J212" s="12" t="inlineStr"/>
      <c r="K212" s="8" t="inlineStr"/>
      <c r="L212" s="12" t="inlineStr"/>
    </row>
    <row r="213"/>
    <row r="214" ht="22" customHeight="1">
      <c r="A214" s="51" t="inlineStr">
        <is>
          <t>Day 4 : Friday — Bench variant / upper body</t>
        </is>
      </c>
    </row>
    <row r="215" ht="32" customHeight="1">
      <c r="A215" s="52" t="inlineStr">
        <is>
          <t>💡 Coaching Rationale: Volume across accessories is roughly half of Week 4 — this day should feel almost too easy. That's correct.</t>
        </is>
      </c>
    </row>
    <row r="216" ht="22" customHeight="1">
      <c r="A216" s="53" t="inlineStr">
        <is>
          <t>#</t>
        </is>
      </c>
      <c r="B216" s="53" t="inlineStr">
        <is>
          <t>Exercise</t>
        </is>
      </c>
      <c r="C216" s="53" t="inlineStr">
        <is>
          <t>Type</t>
        </is>
      </c>
      <c r="D216" s="53" t="inlineStr">
        <is>
          <t>Sets</t>
        </is>
      </c>
      <c r="E216" s="53" t="inlineStr">
        <is>
          <t>Reps</t>
        </is>
      </c>
      <c r="F216" s="53" t="inlineStr">
        <is>
          <t>% TM</t>
        </is>
      </c>
      <c r="G216" s="53" t="inlineStr">
        <is>
          <t>Prescribed Weight</t>
        </is>
      </c>
      <c r="H216" s="53" t="inlineStr">
        <is>
          <t>Target RPE</t>
        </is>
      </c>
      <c r="I216" s="53" t="inlineStr">
        <is>
          <t>Prescription Notes</t>
        </is>
      </c>
      <c r="J216" s="53" t="inlineStr">
        <is>
          <t>Actual Weight</t>
        </is>
      </c>
      <c r="K216" s="53" t="inlineStr">
        <is>
          <t>Actual Reps</t>
        </is>
      </c>
      <c r="L216" s="53" t="inlineStr">
        <is>
          <t>Done?</t>
        </is>
      </c>
    </row>
    <row r="217" ht="20" customHeight="1">
      <c r="A217" s="31" t="n">
        <v>1</v>
      </c>
      <c r="B217" s="32" t="inlineStr">
        <is>
          <t>Light paused bench</t>
        </is>
      </c>
      <c r="C217" s="54" t="inlineStr">
        <is>
          <t>MAIN</t>
        </is>
      </c>
      <c r="D217" s="27" t="n">
        <v>3</v>
      </c>
      <c r="E217" s="27" t="inlineStr">
        <is>
          <t>3</t>
        </is>
      </c>
      <c r="F217" s="34" t="n">
        <v>0.55</v>
      </c>
      <c r="G217" s="35">
        <f>ROUND('Setup &amp; Dashboard'!$E$8*0.55/5, 0)*5</f>
        <v/>
      </c>
      <c r="H217" s="27" t="inlineStr">
        <is>
          <t>RPE 6</t>
        </is>
      </c>
      <c r="I217" s="36" t="inlineStr"/>
      <c r="J217" s="12" t="inlineStr"/>
      <c r="K217" s="8" t="inlineStr"/>
      <c r="L217" s="12" t="inlineStr"/>
    </row>
    <row r="218" ht="20" customHeight="1">
      <c r="A218" s="31" t="n">
        <v>2</v>
      </c>
      <c r="B218" s="30" t="inlineStr">
        <is>
          <t>Chest-supported row</t>
        </is>
      </c>
      <c r="C218" s="55" t="inlineStr">
        <is>
          <t>Acc</t>
        </is>
      </c>
      <c r="D218" s="29" t="n">
        <v>2</v>
      </c>
      <c r="E218" s="29" t="inlineStr">
        <is>
          <t>10</t>
        </is>
      </c>
      <c r="F218" s="29" t="inlineStr"/>
      <c r="G218" s="29" t="inlineStr"/>
      <c r="H218" s="31" t="inlineStr"/>
      <c r="I218" s="36" t="inlineStr"/>
      <c r="J218" s="12" t="inlineStr"/>
      <c r="K218" s="8" t="inlineStr"/>
      <c r="L218" s="12" t="inlineStr"/>
    </row>
    <row r="219" ht="20" customHeight="1">
      <c r="A219" s="40" t="n">
        <v>3</v>
      </c>
      <c r="B219" s="30" t="inlineStr">
        <is>
          <t>Lat pulldown</t>
        </is>
      </c>
      <c r="C219" s="55" t="inlineStr">
        <is>
          <t>Acc</t>
        </is>
      </c>
      <c r="D219" s="38" t="n">
        <v>2</v>
      </c>
      <c r="E219" s="38" t="inlineStr">
        <is>
          <t>10</t>
        </is>
      </c>
      <c r="F219" s="38" t="inlineStr"/>
      <c r="G219" s="29" t="inlineStr"/>
      <c r="H219" s="40" t="inlineStr"/>
      <c r="I219" s="36" t="inlineStr"/>
      <c r="J219" s="12" t="inlineStr"/>
      <c r="K219" s="8" t="inlineStr"/>
      <c r="L219" s="12" t="inlineStr"/>
    </row>
    <row r="220" ht="20" customHeight="1">
      <c r="A220" s="31" t="n">
        <v>4</v>
      </c>
      <c r="B220" s="30" t="inlineStr">
        <is>
          <t>Lateral raise</t>
        </is>
      </c>
      <c r="C220" s="55" t="inlineStr">
        <is>
          <t>Acc</t>
        </is>
      </c>
      <c r="D220" s="29" t="n">
        <v>2</v>
      </c>
      <c r="E220" s="29" t="inlineStr">
        <is>
          <t>15</t>
        </is>
      </c>
      <c r="F220" s="29" t="inlineStr"/>
      <c r="G220" s="29" t="inlineStr"/>
      <c r="H220" s="31" t="inlineStr"/>
      <c r="I220" s="36" t="inlineStr"/>
      <c r="J220" s="12" t="inlineStr"/>
      <c r="K220" s="8" t="inlineStr"/>
      <c r="L220" s="12" t="inlineStr"/>
    </row>
    <row r="221" ht="20" customHeight="1">
      <c r="A221" s="40" t="n">
        <v>5</v>
      </c>
      <c r="B221" s="30" t="inlineStr">
        <is>
          <t>Curl</t>
        </is>
      </c>
      <c r="C221" s="55" t="inlineStr">
        <is>
          <t>Acc</t>
        </is>
      </c>
      <c r="D221" s="38" t="n">
        <v>2</v>
      </c>
      <c r="E221" s="38" t="inlineStr">
        <is>
          <t>10</t>
        </is>
      </c>
      <c r="F221" s="38" t="inlineStr"/>
      <c r="G221" s="29" t="inlineStr"/>
      <c r="H221" s="40" t="inlineStr"/>
      <c r="I221" s="36" t="inlineStr"/>
      <c r="J221" s="12" t="inlineStr"/>
      <c r="K221" s="8" t="inlineStr"/>
      <c r="L221" s="12" t="inlineStr"/>
    </row>
    <row r="222"/>
    <row r="223" ht="22" customHeight="1">
      <c r="A223" s="51" t="inlineStr">
        <is>
          <t>Day 5 : Saturday — Squat variant + Rack Pull</t>
        </is>
      </c>
    </row>
    <row r="224" ht="32" customHeight="1">
      <c r="A224" s="52" t="inlineStr">
        <is>
          <t>💡 Coaching Rationale: Both movements are explicitly 'easy' here — the goal is moving weight to keep the pattern fresh, not accumulating any new training stress.</t>
        </is>
      </c>
    </row>
    <row r="225" ht="22" customHeight="1">
      <c r="A225" s="53" t="inlineStr">
        <is>
          <t>#</t>
        </is>
      </c>
      <c r="B225" s="53" t="inlineStr">
        <is>
          <t>Exercise</t>
        </is>
      </c>
      <c r="C225" s="53" t="inlineStr">
        <is>
          <t>Type</t>
        </is>
      </c>
      <c r="D225" s="53" t="inlineStr">
        <is>
          <t>Sets</t>
        </is>
      </c>
      <c r="E225" s="53" t="inlineStr">
        <is>
          <t>Reps</t>
        </is>
      </c>
      <c r="F225" s="53" t="inlineStr">
        <is>
          <t>% TM</t>
        </is>
      </c>
      <c r="G225" s="53" t="inlineStr">
        <is>
          <t>Prescribed Weight</t>
        </is>
      </c>
      <c r="H225" s="53" t="inlineStr">
        <is>
          <t>Target RPE</t>
        </is>
      </c>
      <c r="I225" s="53" t="inlineStr">
        <is>
          <t>Prescription Notes</t>
        </is>
      </c>
      <c r="J225" s="53" t="inlineStr">
        <is>
          <t>Actual Weight</t>
        </is>
      </c>
      <c r="K225" s="53" t="inlineStr">
        <is>
          <t>Actual Reps</t>
        </is>
      </c>
      <c r="L225" s="53" t="inlineStr">
        <is>
          <t>Done?</t>
        </is>
      </c>
    </row>
    <row r="226" ht="20" customHeight="1">
      <c r="A226" s="31" t="n">
        <v>1</v>
      </c>
      <c r="B226" s="32" t="inlineStr">
        <is>
          <t>Light technique squat</t>
        </is>
      </c>
      <c r="C226" s="54" t="inlineStr">
        <is>
          <t>MAIN</t>
        </is>
      </c>
      <c r="D226" s="27" t="n">
        <v>2</v>
      </c>
      <c r="E226" s="27" t="inlineStr">
        <is>
          <t>3</t>
        </is>
      </c>
      <c r="F226" s="34" t="n">
        <v>0.55</v>
      </c>
      <c r="G226" s="35">
        <f>ROUND('Setup &amp; Dashboard'!$E$7*0.55/5, 0)*5</f>
        <v/>
      </c>
      <c r="H226" s="31" t="inlineStr"/>
      <c r="I226" s="36" t="inlineStr"/>
      <c r="J226" s="12" t="inlineStr"/>
      <c r="K226" s="8" t="inlineStr"/>
      <c r="L226" s="12" t="inlineStr"/>
    </row>
    <row r="227" ht="20" customHeight="1">
      <c r="A227" s="31" t="n">
        <v>2</v>
      </c>
      <c r="B227" s="32" t="inlineStr">
        <is>
          <t>Rack pull</t>
        </is>
      </c>
      <c r="C227" s="54" t="inlineStr">
        <is>
          <t>MAIN</t>
        </is>
      </c>
      <c r="D227" s="27" t="n">
        <v>2</v>
      </c>
      <c r="E227" s="27" t="inlineStr">
        <is>
          <t>3</t>
        </is>
      </c>
      <c r="F227" s="34" t="n">
        <v>0.55</v>
      </c>
      <c r="G227" s="35">
        <f>ROUND('Setup &amp; Dashboard'!$E$10*0.55/5, 0)*5</f>
        <v/>
      </c>
      <c r="H227" s="31" t="inlineStr"/>
      <c r="I227" s="42" t="inlineStr">
        <is>
          <t>easy</t>
        </is>
      </c>
      <c r="J227" s="12" t="inlineStr"/>
      <c r="K227" s="8" t="inlineStr"/>
      <c r="L227" s="12" t="inlineStr"/>
    </row>
    <row r="228" ht="20" customHeight="1">
      <c r="A228" s="31" t="n">
        <v>3</v>
      </c>
      <c r="B228" s="30" t="inlineStr">
        <is>
          <t>Reverse hyper</t>
        </is>
      </c>
      <c r="C228" s="55" t="inlineStr">
        <is>
          <t>Acc</t>
        </is>
      </c>
      <c r="D228" s="29" t="n">
        <v>1</v>
      </c>
      <c r="E228" s="29" t="inlineStr">
        <is>
          <t>12</t>
        </is>
      </c>
      <c r="F228" s="29" t="inlineStr"/>
      <c r="G228" s="29" t="inlineStr"/>
      <c r="H228" s="31" t="inlineStr"/>
      <c r="I228" s="36" t="inlineStr"/>
      <c r="J228" s="12" t="inlineStr"/>
      <c r="K228" s="8" t="inlineStr"/>
      <c r="L228" s="12" t="inlineStr"/>
    </row>
  </sheetData>
  <mergeCells count="57">
    <mergeCell ref="A54:L54"/>
    <mergeCell ref="A90:L90"/>
    <mergeCell ref="A108:L108"/>
    <mergeCell ref="A99:L99"/>
    <mergeCell ref="A208:L208"/>
    <mergeCell ref="A89:L89"/>
    <mergeCell ref="A198:L198"/>
    <mergeCell ref="A80:L80"/>
    <mergeCell ref="A189:L189"/>
    <mergeCell ref="A136:L136"/>
    <mergeCell ref="A154:L154"/>
    <mergeCell ref="A223:L223"/>
    <mergeCell ref="A214:L214"/>
    <mergeCell ref="A145:L145"/>
    <mergeCell ref="A163:L163"/>
    <mergeCell ref="A2:L2"/>
    <mergeCell ref="A42:L42"/>
    <mergeCell ref="A33:L33"/>
    <mergeCell ref="A71:L71"/>
    <mergeCell ref="A116:L116"/>
    <mergeCell ref="A5:L5"/>
    <mergeCell ref="A23:L23"/>
    <mergeCell ref="A32:L32"/>
    <mergeCell ref="A14:L14"/>
    <mergeCell ref="A135:L135"/>
    <mergeCell ref="A181:L181"/>
    <mergeCell ref="A126:L126"/>
    <mergeCell ref="A144:L144"/>
    <mergeCell ref="A162:L162"/>
    <mergeCell ref="A215:L215"/>
    <mergeCell ref="A53:L53"/>
    <mergeCell ref="A146:L146"/>
    <mergeCell ref="A4:L4"/>
    <mergeCell ref="A62:L62"/>
    <mergeCell ref="A100:L100"/>
    <mergeCell ref="A125:L125"/>
    <mergeCell ref="A171:L171"/>
    <mergeCell ref="A180:L180"/>
    <mergeCell ref="A52:L52"/>
    <mergeCell ref="A224:L224"/>
    <mergeCell ref="A199:L199"/>
    <mergeCell ref="A43:L43"/>
    <mergeCell ref="A190:L190"/>
    <mergeCell ref="A170:L170"/>
    <mergeCell ref="A117:L117"/>
    <mergeCell ref="A24:L24"/>
    <mergeCell ref="A15:L15"/>
    <mergeCell ref="A98:L98"/>
    <mergeCell ref="A191:L191"/>
    <mergeCell ref="A207:L207"/>
    <mergeCell ref="A107:L107"/>
    <mergeCell ref="A1:L1"/>
    <mergeCell ref="A61:L61"/>
    <mergeCell ref="A6:L6"/>
    <mergeCell ref="A70:L70"/>
    <mergeCell ref="A79:L79"/>
    <mergeCell ref="A153:L15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9"/>
  <sheetViews>
    <sheetView showGridLines="1" workbookViewId="0">
      <selection activeCell="A1" sqref="A1"/>
    </sheetView>
  </sheetViews>
  <sheetFormatPr baseColWidth="8" defaultRowHeight="15"/>
  <cols>
    <col width="5" customWidth="1" min="1" max="1"/>
    <col width="26" customWidth="1" min="2" max="2"/>
    <col width="10" customWidth="1" min="3" max="3"/>
    <col width="10" customWidth="1" min="4" max="4"/>
    <col width="16" customWidth="1" min="5" max="5"/>
    <col width="10" customWidth="1" min="6" max="6"/>
    <col width="48" customWidth="1" min="7" max="7"/>
    <col width="13" customWidth="1" min="8" max="8"/>
    <col width="94" customWidth="1" min="9" max="9"/>
    <col width="16" customWidth="1" min="10" max="10"/>
    <col width="15" customWidth="1" min="11" max="11"/>
    <col width="10" customWidth="1" min="12" max="12"/>
  </cols>
  <sheetData>
    <row r="1" ht="30" customHeight="1">
      <c r="A1" s="1" t="inlineStr">
        <is>
          <t>CHIKO_LIFTS : BLOCK 2 (W6-10) (WEEKS 6–10)</t>
        </is>
      </c>
    </row>
    <row r="2" ht="20" customHeight="1">
      <c r="A2" s="26" t="inlineStr">
        <is>
          <t>Intensification Doubles (W6-8) ➔ Top of Intensification (W9) ➔ Deload (W10)</t>
        </is>
      </c>
    </row>
    <row r="3"/>
    <row r="4" ht="26" customHeight="1">
      <c r="A4" s="58" t="inlineStr">
        <is>
          <t>WEEK 6 — INTENSIFICATION</t>
        </is>
      </c>
    </row>
    <row r="5" ht="22" customHeight="1">
      <c r="A5" s="51" t="inlineStr">
        <is>
          <t>Day 1 : Monday — Squat</t>
        </is>
      </c>
    </row>
    <row r="6" ht="64" customHeight="1">
      <c r="A6" s="52" t="inlineStr">
        <is>
          <t>💡 Coaching Rationale: Sets drop back to 5, reps stay at 3, but intensity jumps to 83% — the shift from accumulation logic (more volume, moderate intensity) to intensification logic (less volume, higher intensity) starts here. RPE 8 should feel similar to Week 4's RPE 8, even though the % is higher, because you're rested.</t>
        </is>
      </c>
    </row>
    <row r="7" ht="22" customHeight="1">
      <c r="A7" s="53" t="inlineStr">
        <is>
          <t>#</t>
        </is>
      </c>
      <c r="B7" s="53" t="inlineStr">
        <is>
          <t>Exercise</t>
        </is>
      </c>
      <c r="C7" s="53" t="inlineStr">
        <is>
          <t>Type</t>
        </is>
      </c>
      <c r="D7" s="53" t="inlineStr">
        <is>
          <t>Sets</t>
        </is>
      </c>
      <c r="E7" s="53" t="inlineStr">
        <is>
          <t>Reps</t>
        </is>
      </c>
      <c r="F7" s="53" t="inlineStr">
        <is>
          <t>% TM</t>
        </is>
      </c>
      <c r="G7" s="53" t="inlineStr">
        <is>
          <t>Prescribed Weight</t>
        </is>
      </c>
      <c r="H7" s="53" t="inlineStr">
        <is>
          <t>Target RPE</t>
        </is>
      </c>
      <c r="I7" s="53" t="inlineStr">
        <is>
          <t>Prescription Notes</t>
        </is>
      </c>
      <c r="J7" s="53" t="inlineStr">
        <is>
          <t>Actual Weight</t>
        </is>
      </c>
      <c r="K7" s="53" t="inlineStr">
        <is>
          <t>Actual Reps</t>
        </is>
      </c>
      <c r="L7" s="53" t="inlineStr">
        <is>
          <t>Done?</t>
        </is>
      </c>
    </row>
    <row r="8" ht="20" customHeight="1">
      <c r="A8" s="31" t="n">
        <v>1</v>
      </c>
      <c r="B8" s="32" t="inlineStr">
        <is>
          <t>Squat</t>
        </is>
      </c>
      <c r="C8" s="54" t="inlineStr">
        <is>
          <t>MAIN</t>
        </is>
      </c>
      <c r="D8" s="27" t="n">
        <v>5</v>
      </c>
      <c r="E8" s="27" t="inlineStr">
        <is>
          <t>3</t>
        </is>
      </c>
      <c r="F8" s="34" t="n">
        <v>0.83</v>
      </c>
      <c r="G8" s="35">
        <f>ROUND('Setup &amp; Dashboard'!$E$7*0.83/5, 0)*5</f>
        <v/>
      </c>
      <c r="H8" s="27" t="inlineStr">
        <is>
          <t>RPE 8</t>
        </is>
      </c>
      <c r="I8" s="36" t="inlineStr"/>
      <c r="J8" s="12" t="inlineStr"/>
      <c r="K8" s="8" t="inlineStr"/>
      <c r="L8" s="12" t="inlineStr"/>
    </row>
    <row r="9" ht="20" customHeight="1">
      <c r="A9" s="40" t="n">
        <v>2</v>
      </c>
      <c r="B9" s="30" t="inlineStr">
        <is>
          <t>Bulgarian split squat</t>
        </is>
      </c>
      <c r="C9" s="55" t="inlineStr">
        <is>
          <t>Acc</t>
        </is>
      </c>
      <c r="D9" s="38" t="n">
        <v>3</v>
      </c>
      <c r="E9" s="38" t="inlineStr">
        <is>
          <t>8</t>
        </is>
      </c>
      <c r="F9" s="38" t="inlineStr"/>
      <c r="G9" s="29" t="inlineStr"/>
      <c r="H9" s="40" t="inlineStr"/>
      <c r="I9" s="36" t="inlineStr"/>
      <c r="J9" s="12" t="inlineStr"/>
      <c r="K9" s="8" t="inlineStr"/>
      <c r="L9" s="12" t="inlineStr"/>
    </row>
    <row r="10" ht="20" customHeight="1">
      <c r="A10" s="31" t="n">
        <v>3</v>
      </c>
      <c r="B10" s="30" t="inlineStr">
        <is>
          <t>Leg curl</t>
        </is>
      </c>
      <c r="C10" s="55" t="inlineStr">
        <is>
          <t>Acc</t>
        </is>
      </c>
      <c r="D10" s="29" t="n">
        <v>3</v>
      </c>
      <c r="E10" s="29" t="inlineStr">
        <is>
          <t>10</t>
        </is>
      </c>
      <c r="F10" s="29" t="inlineStr"/>
      <c r="G10" s="29" t="inlineStr"/>
      <c r="H10" s="31" t="inlineStr"/>
      <c r="I10" s="36" t="inlineStr"/>
      <c r="J10" s="12" t="inlineStr"/>
      <c r="K10" s="8" t="inlineStr"/>
      <c r="L10" s="12" t="inlineStr"/>
    </row>
    <row r="11" ht="20" customHeight="1">
      <c r="A11" s="40" t="n">
        <v>4</v>
      </c>
      <c r="B11" s="30" t="inlineStr">
        <is>
          <t>Copenhagen plank</t>
        </is>
      </c>
      <c r="C11" s="55" t="inlineStr">
        <is>
          <t>Acc</t>
        </is>
      </c>
      <c r="D11" s="38" t="n">
        <v>3</v>
      </c>
      <c r="E11" s="38" t="inlineStr">
        <is>
          <t>20sec/side</t>
        </is>
      </c>
      <c r="F11" s="38" t="inlineStr"/>
      <c r="G11" s="29" t="inlineStr"/>
      <c r="H11" s="40" t="inlineStr"/>
      <c r="I11" s="36" t="inlineStr"/>
      <c r="J11" s="12" t="inlineStr"/>
      <c r="K11" s="8" t="inlineStr"/>
      <c r="L11" s="12" t="inlineStr"/>
    </row>
    <row r="12"/>
    <row r="13" ht="22" customHeight="1">
      <c r="A13" s="51" t="inlineStr">
        <is>
          <t>Day 2 : Tuesday — Bench</t>
        </is>
      </c>
    </row>
    <row r="14" ht="26" customHeight="1">
      <c r="A14" s="52" t="inlineStr">
        <is>
          <t>💡 Coaching Rationale: Same shift — 5x3 @ 83%, RPE 8.</t>
        </is>
      </c>
    </row>
    <row r="15" ht="22" customHeight="1">
      <c r="A15" s="53" t="inlineStr">
        <is>
          <t>#</t>
        </is>
      </c>
      <c r="B15" s="53" t="inlineStr">
        <is>
          <t>Exercise</t>
        </is>
      </c>
      <c r="C15" s="53" t="inlineStr">
        <is>
          <t>Type</t>
        </is>
      </c>
      <c r="D15" s="53" t="inlineStr">
        <is>
          <t>Sets</t>
        </is>
      </c>
      <c r="E15" s="53" t="inlineStr">
        <is>
          <t>Reps</t>
        </is>
      </c>
      <c r="F15" s="53" t="inlineStr">
        <is>
          <t>% TM</t>
        </is>
      </c>
      <c r="G15" s="53" t="inlineStr">
        <is>
          <t>Prescribed Weight</t>
        </is>
      </c>
      <c r="H15" s="53" t="inlineStr">
        <is>
          <t>Target RPE</t>
        </is>
      </c>
      <c r="I15" s="53" t="inlineStr">
        <is>
          <t>Prescription Notes</t>
        </is>
      </c>
      <c r="J15" s="53" t="inlineStr">
        <is>
          <t>Actual Weight</t>
        </is>
      </c>
      <c r="K15" s="53" t="inlineStr">
        <is>
          <t>Actual Reps</t>
        </is>
      </c>
      <c r="L15" s="53" t="inlineStr">
        <is>
          <t>Done?</t>
        </is>
      </c>
    </row>
    <row r="16" ht="20" customHeight="1">
      <c r="A16" s="31" t="n">
        <v>1</v>
      </c>
      <c r="B16" s="32" t="inlineStr">
        <is>
          <t>Bench</t>
        </is>
      </c>
      <c r="C16" s="54" t="inlineStr">
        <is>
          <t>MAIN</t>
        </is>
      </c>
      <c r="D16" s="27" t="n">
        <v>5</v>
      </c>
      <c r="E16" s="27" t="inlineStr">
        <is>
          <t>3</t>
        </is>
      </c>
      <c r="F16" s="34" t="n">
        <v>0.83</v>
      </c>
      <c r="G16" s="35">
        <f>ROUND('Setup &amp; Dashboard'!$E$8*0.83/5, 0)*5</f>
        <v/>
      </c>
      <c r="H16" s="27" t="inlineStr">
        <is>
          <t>RPE 8</t>
        </is>
      </c>
      <c r="I16" s="36" t="inlineStr"/>
      <c r="J16" s="12" t="inlineStr"/>
      <c r="K16" s="8" t="inlineStr"/>
      <c r="L16" s="12" t="inlineStr"/>
    </row>
    <row r="17" ht="20" customHeight="1">
      <c r="A17" s="40" t="n">
        <v>2</v>
      </c>
      <c r="B17" s="30" t="inlineStr">
        <is>
          <t>Close-grip bench</t>
        </is>
      </c>
      <c r="C17" s="55" t="inlineStr">
        <is>
          <t>Acc</t>
        </is>
      </c>
      <c r="D17" s="38" t="n">
        <v>3</v>
      </c>
      <c r="E17" s="38" t="inlineStr">
        <is>
          <t>5</t>
        </is>
      </c>
      <c r="F17" s="38" t="inlineStr"/>
      <c r="G17" s="29" t="inlineStr"/>
      <c r="H17" s="40" t="inlineStr"/>
      <c r="I17" s="36" t="inlineStr"/>
      <c r="J17" s="12" t="inlineStr"/>
      <c r="K17" s="8" t="inlineStr"/>
      <c r="L17" s="12" t="inlineStr"/>
    </row>
    <row r="18" ht="20" customHeight="1">
      <c r="A18" s="31" t="n">
        <v>3</v>
      </c>
      <c r="B18" s="30" t="inlineStr">
        <is>
          <t>Incline DB press</t>
        </is>
      </c>
      <c r="C18" s="55" t="inlineStr">
        <is>
          <t>Acc</t>
        </is>
      </c>
      <c r="D18" s="29" t="n">
        <v>3</v>
      </c>
      <c r="E18" s="29" t="inlineStr">
        <is>
          <t>8-10</t>
        </is>
      </c>
      <c r="F18" s="29" t="inlineStr"/>
      <c r="G18" s="29" t="inlineStr"/>
      <c r="H18" s="31" t="inlineStr"/>
      <c r="I18" s="36" t="inlineStr"/>
      <c r="J18" s="12" t="inlineStr"/>
      <c r="K18" s="8" t="inlineStr"/>
      <c r="L18" s="12" t="inlineStr"/>
    </row>
    <row r="19" ht="20" customHeight="1">
      <c r="A19" s="40" t="n">
        <v>4</v>
      </c>
      <c r="B19" s="30" t="inlineStr">
        <is>
          <t>Triceps pressdown</t>
        </is>
      </c>
      <c r="C19" s="55" t="inlineStr">
        <is>
          <t>Acc</t>
        </is>
      </c>
      <c r="D19" s="38" t="n">
        <v>3</v>
      </c>
      <c r="E19" s="38" t="inlineStr">
        <is>
          <t>12</t>
        </is>
      </c>
      <c r="F19" s="38" t="inlineStr"/>
      <c r="G19" s="29" t="inlineStr"/>
      <c r="H19" s="40" t="inlineStr"/>
      <c r="I19" s="36" t="inlineStr"/>
      <c r="J19" s="12" t="inlineStr"/>
      <c r="K19" s="8" t="inlineStr"/>
      <c r="L19" s="12" t="inlineStr"/>
    </row>
    <row r="20" ht="20" customHeight="1">
      <c r="A20" s="31" t="n">
        <v>5</v>
      </c>
      <c r="B20" s="30" t="inlineStr">
        <is>
          <t>Face pull</t>
        </is>
      </c>
      <c r="C20" s="55" t="inlineStr">
        <is>
          <t>Acc</t>
        </is>
      </c>
      <c r="D20" s="29" t="n">
        <v>3</v>
      </c>
      <c r="E20" s="29" t="inlineStr">
        <is>
          <t>15</t>
        </is>
      </c>
      <c r="F20" s="29" t="inlineStr"/>
      <c r="G20" s="29" t="inlineStr"/>
      <c r="H20" s="31" t="inlineStr"/>
      <c r="I20" s="36" t="inlineStr"/>
      <c r="J20" s="12" t="inlineStr"/>
      <c r="K20" s="8" t="inlineStr"/>
      <c r="L20" s="12" t="inlineStr"/>
    </row>
    <row r="21"/>
    <row r="22" ht="22" customHeight="1">
      <c r="A22" s="51" t="inlineStr">
        <is>
          <t>Day 3 : Thursday — Deadlift</t>
        </is>
      </c>
    </row>
    <row r="23" ht="32" customHeight="1">
      <c r="A23" s="52" t="inlineStr">
        <is>
          <t>💡 Coaching Rationale: 3x3 @ 82% — deadlift volume actually drops (from 4 sets to 3) as intensity climbs, protecting recovery as the numbers on the bar get heavier.</t>
        </is>
      </c>
    </row>
    <row r="24" ht="22" customHeight="1">
      <c r="A24" s="53" t="inlineStr">
        <is>
          <t>#</t>
        </is>
      </c>
      <c r="B24" s="53" t="inlineStr">
        <is>
          <t>Exercise</t>
        </is>
      </c>
      <c r="C24" s="53" t="inlineStr">
        <is>
          <t>Type</t>
        </is>
      </c>
      <c r="D24" s="53" t="inlineStr">
        <is>
          <t>Sets</t>
        </is>
      </c>
      <c r="E24" s="53" t="inlineStr">
        <is>
          <t>Reps</t>
        </is>
      </c>
      <c r="F24" s="53" t="inlineStr">
        <is>
          <t>% TM</t>
        </is>
      </c>
      <c r="G24" s="53" t="inlineStr">
        <is>
          <t>Prescribed Weight</t>
        </is>
      </c>
      <c r="H24" s="53" t="inlineStr">
        <is>
          <t>Target RPE</t>
        </is>
      </c>
      <c r="I24" s="53" t="inlineStr">
        <is>
          <t>Prescription Notes</t>
        </is>
      </c>
      <c r="J24" s="53" t="inlineStr">
        <is>
          <t>Actual Weight</t>
        </is>
      </c>
      <c r="K24" s="53" t="inlineStr">
        <is>
          <t>Actual Reps</t>
        </is>
      </c>
      <c r="L24" s="53" t="inlineStr">
        <is>
          <t>Done?</t>
        </is>
      </c>
    </row>
    <row r="25" ht="20" customHeight="1">
      <c r="A25" s="31" t="n">
        <v>1</v>
      </c>
      <c r="B25" s="32" t="inlineStr">
        <is>
          <t>Deadlift</t>
        </is>
      </c>
      <c r="C25" s="54" t="inlineStr">
        <is>
          <t>MAIN</t>
        </is>
      </c>
      <c r="D25" s="27" t="n">
        <v>3</v>
      </c>
      <c r="E25" s="27" t="inlineStr">
        <is>
          <t>3</t>
        </is>
      </c>
      <c r="F25" s="34" t="n">
        <v>0.82</v>
      </c>
      <c r="G25" s="35">
        <f>ROUND('Setup &amp; Dashboard'!$E$9*0.82/5, 0)*5</f>
        <v/>
      </c>
      <c r="H25" s="27" t="inlineStr">
        <is>
          <t>RPE 8</t>
        </is>
      </c>
      <c r="I25" s="36" t="inlineStr"/>
      <c r="J25" s="12" t="inlineStr"/>
      <c r="K25" s="8" t="inlineStr"/>
      <c r="L25" s="12" t="inlineStr"/>
    </row>
    <row r="26" ht="20" customHeight="1">
      <c r="A26" s="31" t="n">
        <v>2</v>
      </c>
      <c r="B26" s="30" t="inlineStr">
        <is>
          <t>Reverse hyper</t>
        </is>
      </c>
      <c r="C26" s="55" t="inlineStr">
        <is>
          <t>Acc</t>
        </is>
      </c>
      <c r="D26" s="29" t="n">
        <v>2</v>
      </c>
      <c r="E26" s="29" t="inlineStr">
        <is>
          <t>12</t>
        </is>
      </c>
      <c r="F26" s="29" t="inlineStr"/>
      <c r="G26" s="29" t="inlineStr"/>
      <c r="H26" s="31" t="inlineStr"/>
      <c r="I26" s="36" t="inlineStr"/>
      <c r="J26" s="12" t="inlineStr"/>
      <c r="K26" s="8" t="inlineStr"/>
      <c r="L26" s="12" t="inlineStr"/>
    </row>
    <row r="27" ht="20" customHeight="1">
      <c r="A27" s="40" t="n">
        <v>3</v>
      </c>
      <c r="B27" s="30" t="inlineStr">
        <is>
          <t>Jefferson curl</t>
        </is>
      </c>
      <c r="C27" s="55" t="inlineStr">
        <is>
          <t>Acc</t>
        </is>
      </c>
      <c r="D27" s="38" t="n">
        <v>2</v>
      </c>
      <c r="E27" s="38" t="inlineStr">
        <is>
          <t>8</t>
        </is>
      </c>
      <c r="F27" s="38" t="inlineStr"/>
      <c r="G27" s="29" t="inlineStr"/>
      <c r="H27" s="40" t="inlineStr"/>
      <c r="I27" s="36" t="inlineStr"/>
      <c r="J27" s="12" t="inlineStr"/>
      <c r="K27" s="8" t="inlineStr"/>
      <c r="L27" s="12" t="inlineStr"/>
    </row>
    <row r="28"/>
    <row r="29" ht="22" customHeight="1">
      <c r="A29" s="51" t="inlineStr">
        <is>
          <t>Day 4 : Friday — Bench variant / upper body</t>
        </is>
      </c>
    </row>
    <row r="30" ht="32" customHeight="1">
      <c r="A30" s="52" t="inlineStr">
        <is>
          <t>💡 Coaching Rationale: Spoto press intensity ticks up modestly (65%) but stays a genuinely sub-maximal accessory day — this session's job is still support work, not pushing a new intensity high.</t>
        </is>
      </c>
    </row>
    <row r="31" ht="22" customHeight="1">
      <c r="A31" s="53" t="inlineStr">
        <is>
          <t>#</t>
        </is>
      </c>
      <c r="B31" s="53" t="inlineStr">
        <is>
          <t>Exercise</t>
        </is>
      </c>
      <c r="C31" s="53" t="inlineStr">
        <is>
          <t>Type</t>
        </is>
      </c>
      <c r="D31" s="53" t="inlineStr">
        <is>
          <t>Sets</t>
        </is>
      </c>
      <c r="E31" s="53" t="inlineStr">
        <is>
          <t>Reps</t>
        </is>
      </c>
      <c r="F31" s="53" t="inlineStr">
        <is>
          <t>% TM</t>
        </is>
      </c>
      <c r="G31" s="53" t="inlineStr">
        <is>
          <t>Prescribed Weight</t>
        </is>
      </c>
      <c r="H31" s="53" t="inlineStr">
        <is>
          <t>Target RPE</t>
        </is>
      </c>
      <c r="I31" s="53" t="inlineStr">
        <is>
          <t>Prescription Notes</t>
        </is>
      </c>
      <c r="J31" s="53" t="inlineStr">
        <is>
          <t>Actual Weight</t>
        </is>
      </c>
      <c r="K31" s="53" t="inlineStr">
        <is>
          <t>Actual Reps</t>
        </is>
      </c>
      <c r="L31" s="53" t="inlineStr">
        <is>
          <t>Done?</t>
        </is>
      </c>
    </row>
    <row r="32" ht="20" customHeight="1">
      <c r="A32" s="31" t="n">
        <v>1</v>
      </c>
      <c r="B32" s="32" t="inlineStr">
        <is>
          <t>Spoto press</t>
        </is>
      </c>
      <c r="C32" s="54" t="inlineStr">
        <is>
          <t>MAIN</t>
        </is>
      </c>
      <c r="D32" s="27" t="n">
        <v>4</v>
      </c>
      <c r="E32" s="27" t="inlineStr">
        <is>
          <t>3</t>
        </is>
      </c>
      <c r="F32" s="34" t="n">
        <v>0.65</v>
      </c>
      <c r="G32" s="35">
        <f>ROUND('Setup &amp; Dashboard'!$E$8*0.65/5, 0)*5</f>
        <v/>
      </c>
      <c r="H32" s="27" t="inlineStr">
        <is>
          <t>RPE 7</t>
        </is>
      </c>
      <c r="I32" s="36" t="inlineStr"/>
      <c r="J32" s="12" t="inlineStr"/>
      <c r="K32" s="8" t="inlineStr"/>
      <c r="L32" s="12" t="inlineStr"/>
    </row>
    <row r="33" ht="20" customHeight="1">
      <c r="A33" s="40" t="n">
        <v>2</v>
      </c>
      <c r="B33" s="30" t="inlineStr">
        <is>
          <t>Chest-supported row</t>
        </is>
      </c>
      <c r="C33" s="55" t="inlineStr">
        <is>
          <t>Acc</t>
        </is>
      </c>
      <c r="D33" s="38" t="n">
        <v>4</v>
      </c>
      <c r="E33" s="38" t="inlineStr">
        <is>
          <t>8</t>
        </is>
      </c>
      <c r="F33" s="38" t="inlineStr"/>
      <c r="G33" s="29" t="inlineStr"/>
      <c r="H33" s="40" t="inlineStr"/>
      <c r="I33" s="36" t="inlineStr"/>
      <c r="J33" s="12" t="inlineStr"/>
      <c r="K33" s="8" t="inlineStr"/>
      <c r="L33" s="12" t="inlineStr"/>
    </row>
    <row r="34" ht="20" customHeight="1">
      <c r="A34" s="31" t="n">
        <v>3</v>
      </c>
      <c r="B34" s="30" t="inlineStr">
        <is>
          <t>Lat pulldown</t>
        </is>
      </c>
      <c r="C34" s="55" t="inlineStr">
        <is>
          <t>Acc</t>
        </is>
      </c>
      <c r="D34" s="29" t="n">
        <v>3</v>
      </c>
      <c r="E34" s="29" t="inlineStr">
        <is>
          <t>10</t>
        </is>
      </c>
      <c r="F34" s="29" t="inlineStr"/>
      <c r="G34" s="29" t="inlineStr"/>
      <c r="H34" s="31" t="inlineStr"/>
      <c r="I34" s="36" t="inlineStr"/>
      <c r="J34" s="12" t="inlineStr"/>
      <c r="K34" s="8" t="inlineStr"/>
      <c r="L34" s="12" t="inlineStr"/>
    </row>
    <row r="35" ht="20" customHeight="1">
      <c r="A35" s="40" t="n">
        <v>4</v>
      </c>
      <c r="B35" s="30" t="inlineStr">
        <is>
          <t>Lateral raise</t>
        </is>
      </c>
      <c r="C35" s="55" t="inlineStr">
        <is>
          <t>Acc</t>
        </is>
      </c>
      <c r="D35" s="38" t="n">
        <v>3</v>
      </c>
      <c r="E35" s="38" t="inlineStr">
        <is>
          <t>15</t>
        </is>
      </c>
      <c r="F35" s="38" t="inlineStr"/>
      <c r="G35" s="29" t="inlineStr"/>
      <c r="H35" s="40" t="inlineStr"/>
      <c r="I35" s="36" t="inlineStr"/>
      <c r="J35" s="12" t="inlineStr"/>
      <c r="K35" s="8" t="inlineStr"/>
      <c r="L35" s="12" t="inlineStr"/>
    </row>
    <row r="36" ht="20" customHeight="1">
      <c r="A36" s="31" t="n">
        <v>5</v>
      </c>
      <c r="B36" s="30" t="inlineStr">
        <is>
          <t>Curl</t>
        </is>
      </c>
      <c r="C36" s="55" t="inlineStr">
        <is>
          <t>Acc</t>
        </is>
      </c>
      <c r="D36" s="29" t="n">
        <v>3</v>
      </c>
      <c r="E36" s="29" t="inlineStr">
        <is>
          <t>10-12</t>
        </is>
      </c>
      <c r="F36" s="29" t="inlineStr"/>
      <c r="G36" s="29" t="inlineStr"/>
      <c r="H36" s="31" t="inlineStr"/>
      <c r="I36" s="36" t="inlineStr"/>
      <c r="J36" s="12" t="inlineStr"/>
      <c r="K36" s="8" t="inlineStr"/>
      <c r="L36" s="12" t="inlineStr"/>
    </row>
    <row r="37" ht="20" customHeight="1">
      <c r="A37" s="40" t="n">
        <v>6</v>
      </c>
      <c r="B37" s="30" t="inlineStr">
        <is>
          <t>Pallof press</t>
        </is>
      </c>
      <c r="C37" s="55" t="inlineStr">
        <is>
          <t>Acc</t>
        </is>
      </c>
      <c r="D37" s="38" t="n">
        <v>3</v>
      </c>
      <c r="E37" s="38" t="inlineStr">
        <is>
          <t>10/side</t>
        </is>
      </c>
      <c r="F37" s="38" t="inlineStr"/>
      <c r="G37" s="29" t="inlineStr"/>
      <c r="H37" s="40" t="inlineStr"/>
      <c r="I37" s="36" t="inlineStr"/>
      <c r="J37" s="12" t="inlineStr"/>
      <c r="K37" s="8" t="inlineStr"/>
      <c r="L37" s="12" t="inlineStr"/>
    </row>
    <row r="38"/>
    <row r="39" ht="22" customHeight="1">
      <c r="A39" s="51" t="inlineStr">
        <is>
          <t>Day 5 : Saturday — Squat variant + Rack Pull</t>
        </is>
      </c>
    </row>
    <row r="40" ht="32" customHeight="1">
      <c r="A40" s="52" t="inlineStr">
        <is>
          <t>💡 Coaching Rationale: Rack pull moves to 4x3 @ 80%, matching the intensification shift seen everywhere else this week — fewer sets, heavier load.</t>
        </is>
      </c>
    </row>
    <row r="41" ht="22" customHeight="1">
      <c r="A41" s="53" t="inlineStr">
        <is>
          <t>#</t>
        </is>
      </c>
      <c r="B41" s="53" t="inlineStr">
        <is>
          <t>Exercise</t>
        </is>
      </c>
      <c r="C41" s="53" t="inlineStr">
        <is>
          <t>Type</t>
        </is>
      </c>
      <c r="D41" s="53" t="inlineStr">
        <is>
          <t>Sets</t>
        </is>
      </c>
      <c r="E41" s="53" t="inlineStr">
        <is>
          <t>Reps</t>
        </is>
      </c>
      <c r="F41" s="53" t="inlineStr">
        <is>
          <t>% TM</t>
        </is>
      </c>
      <c r="G41" s="53" t="inlineStr">
        <is>
          <t>Prescribed Weight</t>
        </is>
      </c>
      <c r="H41" s="53" t="inlineStr">
        <is>
          <t>Target RPE</t>
        </is>
      </c>
      <c r="I41" s="53" t="inlineStr">
        <is>
          <t>Prescription Notes</t>
        </is>
      </c>
      <c r="J41" s="53" t="inlineStr">
        <is>
          <t>Actual Weight</t>
        </is>
      </c>
      <c r="K41" s="53" t="inlineStr">
        <is>
          <t>Actual Reps</t>
        </is>
      </c>
      <c r="L41" s="53" t="inlineStr">
        <is>
          <t>Done?</t>
        </is>
      </c>
    </row>
    <row r="42" ht="20" customHeight="1">
      <c r="A42" s="31" t="n">
        <v>1</v>
      </c>
      <c r="B42" s="32" t="inlineStr">
        <is>
          <t>High bar squat</t>
        </is>
      </c>
      <c r="C42" s="54" t="inlineStr">
        <is>
          <t>MAIN</t>
        </is>
      </c>
      <c r="D42" s="27" t="n">
        <v>3</v>
      </c>
      <c r="E42" s="27" t="inlineStr">
        <is>
          <t>4</t>
        </is>
      </c>
      <c r="F42" s="34" t="n">
        <v>0.65</v>
      </c>
      <c r="G42" s="35">
        <f>ROUND('Setup &amp; Dashboard'!$E$7*0.65/5, 0)*5</f>
        <v/>
      </c>
      <c r="H42" s="27" t="inlineStr">
        <is>
          <t>RPE 7</t>
        </is>
      </c>
      <c r="I42" s="36" t="inlineStr"/>
      <c r="J42" s="12" t="inlineStr"/>
      <c r="K42" s="8" t="inlineStr"/>
      <c r="L42" s="12" t="inlineStr"/>
    </row>
    <row r="43" ht="20" customHeight="1">
      <c r="A43" s="31" t="n">
        <v>2</v>
      </c>
      <c r="B43" s="32" t="inlineStr">
        <is>
          <t>Rack pull</t>
        </is>
      </c>
      <c r="C43" s="54" t="inlineStr">
        <is>
          <t>MAIN</t>
        </is>
      </c>
      <c r="D43" s="27" t="n">
        <v>4</v>
      </c>
      <c r="E43" s="27" t="inlineStr">
        <is>
          <t>3</t>
        </is>
      </c>
      <c r="F43" s="34" t="n">
        <v>0.8</v>
      </c>
      <c r="G43" s="35">
        <f>ROUND('Setup &amp; Dashboard'!$E$10*0.8/5, 0)*5</f>
        <v/>
      </c>
      <c r="H43" s="27" t="inlineStr">
        <is>
          <t>RPE 8</t>
        </is>
      </c>
      <c r="I43" s="36" t="inlineStr"/>
      <c r="J43" s="12" t="inlineStr"/>
      <c r="K43" s="8" t="inlineStr"/>
      <c r="L43" s="12" t="inlineStr"/>
    </row>
    <row r="44" ht="20" customHeight="1">
      <c r="A44" s="31" t="n">
        <v>3</v>
      </c>
      <c r="B44" s="30" t="inlineStr">
        <is>
          <t>Reverse hyper</t>
        </is>
      </c>
      <c r="C44" s="55" t="inlineStr">
        <is>
          <t>Acc</t>
        </is>
      </c>
      <c r="D44" s="29" t="n">
        <v>2</v>
      </c>
      <c r="E44" s="29" t="inlineStr">
        <is>
          <t>12</t>
        </is>
      </c>
      <c r="F44" s="29" t="inlineStr"/>
      <c r="G44" s="29" t="inlineStr"/>
      <c r="H44" s="31" t="inlineStr"/>
      <c r="I44" s="36" t="inlineStr"/>
      <c r="J44" s="12" t="inlineStr"/>
      <c r="K44" s="8" t="inlineStr"/>
      <c r="L44" s="12" t="inlineStr"/>
    </row>
    <row r="45" ht="20" customHeight="1">
      <c r="A45" s="40" t="n">
        <v>4</v>
      </c>
      <c r="B45" s="30" t="inlineStr">
        <is>
          <t>GHR or Nordic curl</t>
        </is>
      </c>
      <c r="C45" s="55" t="inlineStr">
        <is>
          <t>Acc</t>
        </is>
      </c>
      <c r="D45" s="38" t="n">
        <v>3</v>
      </c>
      <c r="E45" s="38" t="inlineStr">
        <is>
          <t>8</t>
        </is>
      </c>
      <c r="F45" s="38" t="inlineStr"/>
      <c r="G45" s="29" t="inlineStr"/>
      <c r="H45" s="40" t="inlineStr"/>
      <c r="I45" s="36" t="inlineStr"/>
      <c r="J45" s="12" t="inlineStr"/>
      <c r="K45" s="8" t="inlineStr"/>
      <c r="L45" s="12" t="inlineStr"/>
    </row>
    <row r="46"/>
    <row r="47"/>
    <row r="48" ht="26" customHeight="1">
      <c r="A48" s="58" t="inlineStr">
        <is>
          <t>WEEK 7 — INTENSIFICATION</t>
        </is>
      </c>
    </row>
    <row r="49" ht="22" customHeight="1">
      <c r="A49" s="51" t="inlineStr">
        <is>
          <t>Day 1 : Monday — Squat</t>
        </is>
      </c>
    </row>
    <row r="50" ht="48" customHeight="1">
      <c r="A50" s="52" t="inlineStr">
        <is>
          <t>💡 Coaching Rationale: Reps drop to 2, intensity to 87% — this is the point in the block where you should start feeling real weight on the bar. RPE 8 with 5 sets of 2 is a meaningfully different stimulus than Week 6's 5x3, even though the jump in % looks small.</t>
        </is>
      </c>
    </row>
    <row r="51" ht="22" customHeight="1">
      <c r="A51" s="53" t="inlineStr">
        <is>
          <t>#</t>
        </is>
      </c>
      <c r="B51" s="53" t="inlineStr">
        <is>
          <t>Exercise</t>
        </is>
      </c>
      <c r="C51" s="53" t="inlineStr">
        <is>
          <t>Type</t>
        </is>
      </c>
      <c r="D51" s="53" t="inlineStr">
        <is>
          <t>Sets</t>
        </is>
      </c>
      <c r="E51" s="53" t="inlineStr">
        <is>
          <t>Reps</t>
        </is>
      </c>
      <c r="F51" s="53" t="inlineStr">
        <is>
          <t>% TM</t>
        </is>
      </c>
      <c r="G51" s="53" t="inlineStr">
        <is>
          <t>Prescribed Weight</t>
        </is>
      </c>
      <c r="H51" s="53" t="inlineStr">
        <is>
          <t>Target RPE</t>
        </is>
      </c>
      <c r="I51" s="53" t="inlineStr">
        <is>
          <t>Prescription Notes</t>
        </is>
      </c>
      <c r="J51" s="53" t="inlineStr">
        <is>
          <t>Actual Weight</t>
        </is>
      </c>
      <c r="K51" s="53" t="inlineStr">
        <is>
          <t>Actual Reps</t>
        </is>
      </c>
      <c r="L51" s="53" t="inlineStr">
        <is>
          <t>Done?</t>
        </is>
      </c>
    </row>
    <row r="52" ht="20" customHeight="1">
      <c r="A52" s="31" t="n">
        <v>1</v>
      </c>
      <c r="B52" s="32" t="inlineStr">
        <is>
          <t>Squat</t>
        </is>
      </c>
      <c r="C52" s="54" t="inlineStr">
        <is>
          <t>MAIN</t>
        </is>
      </c>
      <c r="D52" s="27" t="n">
        <v>5</v>
      </c>
      <c r="E52" s="27" t="inlineStr">
        <is>
          <t>2</t>
        </is>
      </c>
      <c r="F52" s="34" t="n">
        <v>0.87</v>
      </c>
      <c r="G52" s="35">
        <f>ROUND('Setup &amp; Dashboard'!$E$7*0.87/5, 0)*5</f>
        <v/>
      </c>
      <c r="H52" s="27" t="inlineStr">
        <is>
          <t>RPE 8</t>
        </is>
      </c>
      <c r="I52" s="36" t="inlineStr"/>
      <c r="J52" s="12" t="inlineStr"/>
      <c r="K52" s="8" t="inlineStr"/>
      <c r="L52" s="12" t="inlineStr"/>
    </row>
    <row r="53" ht="20" customHeight="1">
      <c r="A53" s="40" t="n">
        <v>2</v>
      </c>
      <c r="B53" s="30" t="inlineStr">
        <is>
          <t>Split squat</t>
        </is>
      </c>
      <c r="C53" s="55" t="inlineStr">
        <is>
          <t>Acc</t>
        </is>
      </c>
      <c r="D53" s="38" t="n">
        <v>2</v>
      </c>
      <c r="E53" s="38" t="inlineStr">
        <is>
          <t>8/leg</t>
        </is>
      </c>
      <c r="F53" s="38" t="inlineStr"/>
      <c r="G53" s="29" t="inlineStr"/>
      <c r="H53" s="40" t="inlineStr"/>
      <c r="I53" s="36" t="inlineStr"/>
      <c r="J53" s="12" t="inlineStr"/>
      <c r="K53" s="8" t="inlineStr"/>
      <c r="L53" s="12" t="inlineStr"/>
    </row>
    <row r="54" ht="20" customHeight="1">
      <c r="A54" s="31" t="n">
        <v>3</v>
      </c>
      <c r="B54" s="30" t="inlineStr">
        <is>
          <t>Leg curl</t>
        </is>
      </c>
      <c r="C54" s="55" t="inlineStr">
        <is>
          <t>Acc</t>
        </is>
      </c>
      <c r="D54" s="29" t="n">
        <v>3</v>
      </c>
      <c r="E54" s="29" t="inlineStr">
        <is>
          <t>10</t>
        </is>
      </c>
      <c r="F54" s="29" t="inlineStr"/>
      <c r="G54" s="29" t="inlineStr"/>
      <c r="H54" s="31" t="inlineStr"/>
      <c r="I54" s="36" t="inlineStr"/>
      <c r="J54" s="12" t="inlineStr"/>
      <c r="K54" s="8" t="inlineStr"/>
      <c r="L54" s="12" t="inlineStr"/>
    </row>
    <row r="55" ht="20" customHeight="1">
      <c r="A55" s="40" t="n">
        <v>4</v>
      </c>
      <c r="B55" s="30" t="inlineStr">
        <is>
          <t>Copenhagen plank</t>
        </is>
      </c>
      <c r="C55" s="55" t="inlineStr">
        <is>
          <t>Acc</t>
        </is>
      </c>
      <c r="D55" s="38" t="n">
        <v>3</v>
      </c>
      <c r="E55" s="38" t="inlineStr">
        <is>
          <t>20sec/side</t>
        </is>
      </c>
      <c r="F55" s="38" t="inlineStr"/>
      <c r="G55" s="29" t="inlineStr"/>
      <c r="H55" s="40" t="inlineStr"/>
      <c r="I55" s="36" t="inlineStr"/>
      <c r="J55" s="12" t="inlineStr"/>
      <c r="K55" s="8" t="inlineStr"/>
      <c r="L55" s="12" t="inlineStr"/>
    </row>
    <row r="56"/>
    <row r="57" ht="22" customHeight="1">
      <c r="A57" s="51" t="inlineStr">
        <is>
          <t>Day 2 : Tuesday — Bench</t>
        </is>
      </c>
    </row>
    <row r="58" ht="32" customHeight="1">
      <c r="A58" s="52" t="inlineStr">
        <is>
          <t>💡 Coaching Rationale: Sets actually increase to 6x2 @ 87% — bench tends to tolerate slightly more frequency/volume at high intensity than squat or deadlift, which is why it gets an extra set here.</t>
        </is>
      </c>
    </row>
    <row r="59" ht="22" customHeight="1">
      <c r="A59" s="53" t="inlineStr">
        <is>
          <t>#</t>
        </is>
      </c>
      <c r="B59" s="53" t="inlineStr">
        <is>
          <t>Exercise</t>
        </is>
      </c>
      <c r="C59" s="53" t="inlineStr">
        <is>
          <t>Type</t>
        </is>
      </c>
      <c r="D59" s="53" t="inlineStr">
        <is>
          <t>Sets</t>
        </is>
      </c>
      <c r="E59" s="53" t="inlineStr">
        <is>
          <t>Reps</t>
        </is>
      </c>
      <c r="F59" s="53" t="inlineStr">
        <is>
          <t>% TM</t>
        </is>
      </c>
      <c r="G59" s="53" t="inlineStr">
        <is>
          <t>Prescribed Weight</t>
        </is>
      </c>
      <c r="H59" s="53" t="inlineStr">
        <is>
          <t>Target RPE</t>
        </is>
      </c>
      <c r="I59" s="53" t="inlineStr">
        <is>
          <t>Prescription Notes</t>
        </is>
      </c>
      <c r="J59" s="53" t="inlineStr">
        <is>
          <t>Actual Weight</t>
        </is>
      </c>
      <c r="K59" s="53" t="inlineStr">
        <is>
          <t>Actual Reps</t>
        </is>
      </c>
      <c r="L59" s="53" t="inlineStr">
        <is>
          <t>Done?</t>
        </is>
      </c>
    </row>
    <row r="60" ht="20" customHeight="1">
      <c r="A60" s="31" t="n">
        <v>1</v>
      </c>
      <c r="B60" s="32" t="inlineStr">
        <is>
          <t>Bench</t>
        </is>
      </c>
      <c r="C60" s="54" t="inlineStr">
        <is>
          <t>MAIN</t>
        </is>
      </c>
      <c r="D60" s="27" t="n">
        <v>6</v>
      </c>
      <c r="E60" s="27" t="inlineStr">
        <is>
          <t>2</t>
        </is>
      </c>
      <c r="F60" s="34" t="n">
        <v>0.87</v>
      </c>
      <c r="G60" s="35">
        <f>ROUND('Setup &amp; Dashboard'!$E$8*0.87/5, 0)*5</f>
        <v/>
      </c>
      <c r="H60" s="27" t="inlineStr">
        <is>
          <t>RPE 8</t>
        </is>
      </c>
      <c r="I60" s="36" t="inlineStr"/>
      <c r="J60" s="12" t="inlineStr"/>
      <c r="K60" s="8" t="inlineStr"/>
      <c r="L60" s="12" t="inlineStr"/>
    </row>
    <row r="61" ht="20" customHeight="1">
      <c r="A61" s="40" t="n">
        <v>2</v>
      </c>
      <c r="B61" s="30" t="inlineStr">
        <is>
          <t>Close-grip bench</t>
        </is>
      </c>
      <c r="C61" s="55" t="inlineStr">
        <is>
          <t>Acc</t>
        </is>
      </c>
      <c r="D61" s="38" t="n">
        <v>3</v>
      </c>
      <c r="E61" s="38" t="inlineStr">
        <is>
          <t>4-5</t>
        </is>
      </c>
      <c r="F61" s="38" t="inlineStr"/>
      <c r="G61" s="29" t="inlineStr"/>
      <c r="H61" s="40" t="inlineStr"/>
      <c r="I61" s="36" t="inlineStr"/>
      <c r="J61" s="12" t="inlineStr"/>
      <c r="K61" s="8" t="inlineStr"/>
      <c r="L61" s="12" t="inlineStr"/>
    </row>
    <row r="62" ht="20" customHeight="1">
      <c r="A62" s="31" t="n">
        <v>3</v>
      </c>
      <c r="B62" s="30" t="inlineStr">
        <is>
          <t>Incline DB press</t>
        </is>
      </c>
      <c r="C62" s="55" t="inlineStr">
        <is>
          <t>Acc</t>
        </is>
      </c>
      <c r="D62" s="29" t="n">
        <v>3</v>
      </c>
      <c r="E62" s="29" t="inlineStr">
        <is>
          <t>8</t>
        </is>
      </c>
      <c r="F62" s="29" t="inlineStr"/>
      <c r="G62" s="29" t="inlineStr"/>
      <c r="H62" s="31" t="inlineStr"/>
      <c r="I62" s="36" t="inlineStr"/>
      <c r="J62" s="12" t="inlineStr"/>
      <c r="K62" s="8" t="inlineStr"/>
      <c r="L62" s="12" t="inlineStr"/>
    </row>
    <row r="63" ht="20" customHeight="1">
      <c r="A63" s="40" t="n">
        <v>4</v>
      </c>
      <c r="B63" s="30" t="inlineStr">
        <is>
          <t>Triceps pressdown</t>
        </is>
      </c>
      <c r="C63" s="55" t="inlineStr">
        <is>
          <t>Acc</t>
        </is>
      </c>
      <c r="D63" s="38" t="n">
        <v>3</v>
      </c>
      <c r="E63" s="38" t="inlineStr">
        <is>
          <t>12</t>
        </is>
      </c>
      <c r="F63" s="38" t="inlineStr"/>
      <c r="G63" s="29" t="inlineStr"/>
      <c r="H63" s="40" t="inlineStr"/>
      <c r="I63" s="36" t="inlineStr"/>
      <c r="J63" s="12" t="inlineStr"/>
      <c r="K63" s="8" t="inlineStr"/>
      <c r="L63" s="12" t="inlineStr"/>
    </row>
    <row r="64" ht="20" customHeight="1">
      <c r="A64" s="31" t="n">
        <v>5</v>
      </c>
      <c r="B64" s="30" t="inlineStr">
        <is>
          <t>Face pull</t>
        </is>
      </c>
      <c r="C64" s="55" t="inlineStr">
        <is>
          <t>Acc</t>
        </is>
      </c>
      <c r="D64" s="29" t="n">
        <v>3</v>
      </c>
      <c r="E64" s="29" t="inlineStr">
        <is>
          <t>15</t>
        </is>
      </c>
      <c r="F64" s="29" t="inlineStr"/>
      <c r="G64" s="29" t="inlineStr"/>
      <c r="H64" s="31" t="inlineStr"/>
      <c r="I64" s="36" t="inlineStr"/>
      <c r="J64" s="12" t="inlineStr"/>
      <c r="K64" s="8" t="inlineStr"/>
      <c r="L64" s="12" t="inlineStr"/>
    </row>
    <row r="65"/>
    <row r="66" ht="22" customHeight="1">
      <c r="A66" s="51" t="inlineStr">
        <is>
          <t>Day 3 : Thursday — Deadlift</t>
        </is>
      </c>
    </row>
    <row r="67" ht="32" customHeight="1">
      <c r="A67" s="52" t="inlineStr">
        <is>
          <t>💡 Coaching Rationale: 4x2 @ 86% — deadlift picks its set count back up now that intensity has stabilized into the doubles range, but stays a single weekly exposure.</t>
        </is>
      </c>
    </row>
    <row r="68" ht="22" customHeight="1">
      <c r="A68" s="53" t="inlineStr">
        <is>
          <t>#</t>
        </is>
      </c>
      <c r="B68" s="53" t="inlineStr">
        <is>
          <t>Exercise</t>
        </is>
      </c>
      <c r="C68" s="53" t="inlineStr">
        <is>
          <t>Type</t>
        </is>
      </c>
      <c r="D68" s="53" t="inlineStr">
        <is>
          <t>Sets</t>
        </is>
      </c>
      <c r="E68" s="53" t="inlineStr">
        <is>
          <t>Reps</t>
        </is>
      </c>
      <c r="F68" s="53" t="inlineStr">
        <is>
          <t>% TM</t>
        </is>
      </c>
      <c r="G68" s="53" t="inlineStr">
        <is>
          <t>Prescribed Weight</t>
        </is>
      </c>
      <c r="H68" s="53" t="inlineStr">
        <is>
          <t>Target RPE</t>
        </is>
      </c>
      <c r="I68" s="53" t="inlineStr">
        <is>
          <t>Prescription Notes</t>
        </is>
      </c>
      <c r="J68" s="53" t="inlineStr">
        <is>
          <t>Actual Weight</t>
        </is>
      </c>
      <c r="K68" s="53" t="inlineStr">
        <is>
          <t>Actual Reps</t>
        </is>
      </c>
      <c r="L68" s="53" t="inlineStr">
        <is>
          <t>Done?</t>
        </is>
      </c>
    </row>
    <row r="69" ht="20" customHeight="1">
      <c r="A69" s="31" t="n">
        <v>1</v>
      </c>
      <c r="B69" s="32" t="inlineStr">
        <is>
          <t>Deadlift</t>
        </is>
      </c>
      <c r="C69" s="54" t="inlineStr">
        <is>
          <t>MAIN</t>
        </is>
      </c>
      <c r="D69" s="27" t="n">
        <v>4</v>
      </c>
      <c r="E69" s="27" t="inlineStr">
        <is>
          <t>2</t>
        </is>
      </c>
      <c r="F69" s="34" t="n">
        <v>0.86</v>
      </c>
      <c r="G69" s="35">
        <f>ROUND('Setup &amp; Dashboard'!$E$9*0.86/5, 0)*5</f>
        <v/>
      </c>
      <c r="H69" s="27" t="inlineStr">
        <is>
          <t>RPE 8</t>
        </is>
      </c>
      <c r="I69" s="36" t="inlineStr"/>
      <c r="J69" s="12" t="inlineStr"/>
      <c r="K69" s="8" t="inlineStr"/>
      <c r="L69" s="12" t="inlineStr"/>
    </row>
    <row r="70" ht="20" customHeight="1">
      <c r="A70" s="31" t="n">
        <v>2</v>
      </c>
      <c r="B70" s="30" t="inlineStr">
        <is>
          <t>Reverse hyper</t>
        </is>
      </c>
      <c r="C70" s="55" t="inlineStr">
        <is>
          <t>Acc</t>
        </is>
      </c>
      <c r="D70" s="29" t="n">
        <v>2</v>
      </c>
      <c r="E70" s="29" t="inlineStr">
        <is>
          <t>10-12</t>
        </is>
      </c>
      <c r="F70" s="29" t="inlineStr"/>
      <c r="G70" s="29" t="inlineStr"/>
      <c r="H70" s="31" t="inlineStr"/>
      <c r="I70" s="36" t="inlineStr"/>
      <c r="J70" s="12" t="inlineStr"/>
      <c r="K70" s="8" t="inlineStr"/>
      <c r="L70" s="12" t="inlineStr"/>
    </row>
    <row r="71" ht="20" customHeight="1">
      <c r="A71" s="40" t="n">
        <v>3</v>
      </c>
      <c r="B71" s="30" t="inlineStr">
        <is>
          <t>Jefferson curl</t>
        </is>
      </c>
      <c r="C71" s="55" t="inlineStr">
        <is>
          <t>Acc</t>
        </is>
      </c>
      <c r="D71" s="38" t="n">
        <v>2</v>
      </c>
      <c r="E71" s="38" t="inlineStr">
        <is>
          <t>6-8</t>
        </is>
      </c>
      <c r="F71" s="38" t="inlineStr"/>
      <c r="G71" s="29" t="inlineStr"/>
      <c r="H71" s="40" t="inlineStr"/>
      <c r="I71" s="36" t="inlineStr"/>
      <c r="J71" s="12" t="inlineStr"/>
      <c r="K71" s="8" t="inlineStr"/>
      <c r="L71" s="12" t="inlineStr"/>
    </row>
    <row r="72"/>
    <row r="73" ht="22" customHeight="1">
      <c r="A73" s="51" t="inlineStr">
        <is>
          <t>Day 4 : Friday — Bench variant / upper body</t>
        </is>
      </c>
    </row>
    <row r="74" ht="48" customHeight="1">
      <c r="A74" s="52" t="inlineStr">
        <is>
          <t>💡 Coaching Rationale: Tempo bench returns as the frequency movement, still at a low, controlled intensity (65%) — this day's purpose hasn't changed all cycle: reinforce technique and support upper-back strength without adding to the week's fatigue total.</t>
        </is>
      </c>
    </row>
    <row r="75" ht="22" customHeight="1">
      <c r="A75" s="53" t="inlineStr">
        <is>
          <t>#</t>
        </is>
      </c>
      <c r="B75" s="53" t="inlineStr">
        <is>
          <t>Exercise</t>
        </is>
      </c>
      <c r="C75" s="53" t="inlineStr">
        <is>
          <t>Type</t>
        </is>
      </c>
      <c r="D75" s="53" t="inlineStr">
        <is>
          <t>Sets</t>
        </is>
      </c>
      <c r="E75" s="53" t="inlineStr">
        <is>
          <t>Reps</t>
        </is>
      </c>
      <c r="F75" s="53" t="inlineStr">
        <is>
          <t>% TM</t>
        </is>
      </c>
      <c r="G75" s="53" t="inlineStr">
        <is>
          <t>Prescribed Weight</t>
        </is>
      </c>
      <c r="H75" s="53" t="inlineStr">
        <is>
          <t>Target RPE</t>
        </is>
      </c>
      <c r="I75" s="53" t="inlineStr">
        <is>
          <t>Prescription Notes</t>
        </is>
      </c>
      <c r="J75" s="53" t="inlineStr">
        <is>
          <t>Actual Weight</t>
        </is>
      </c>
      <c r="K75" s="53" t="inlineStr">
        <is>
          <t>Actual Reps</t>
        </is>
      </c>
      <c r="L75" s="53" t="inlineStr">
        <is>
          <t>Done?</t>
        </is>
      </c>
    </row>
    <row r="76" ht="20" customHeight="1">
      <c r="A76" s="31" t="n">
        <v>1</v>
      </c>
      <c r="B76" s="32" t="inlineStr">
        <is>
          <t>Tempo bench</t>
        </is>
      </c>
      <c r="C76" s="54" t="inlineStr">
        <is>
          <t>MAIN</t>
        </is>
      </c>
      <c r="D76" s="27" t="n">
        <v>3</v>
      </c>
      <c r="E76" s="27" t="inlineStr">
        <is>
          <t>3</t>
        </is>
      </c>
      <c r="F76" s="34" t="n">
        <v>0.65</v>
      </c>
      <c r="G76" s="35">
        <f>ROUND('Setup &amp; Dashboard'!$E$8*0.65/5, 0)*5</f>
        <v/>
      </c>
      <c r="H76" s="27" t="inlineStr">
        <is>
          <t>RPE 7</t>
        </is>
      </c>
      <c r="I76" s="36" t="inlineStr"/>
      <c r="J76" s="12" t="inlineStr"/>
      <c r="K76" s="8" t="inlineStr"/>
      <c r="L76" s="12" t="inlineStr"/>
    </row>
    <row r="77" ht="20" customHeight="1">
      <c r="A77" s="40" t="n">
        <v>2</v>
      </c>
      <c r="B77" s="30" t="inlineStr">
        <is>
          <t>Chest-supported row</t>
        </is>
      </c>
      <c r="C77" s="55" t="inlineStr">
        <is>
          <t>Acc</t>
        </is>
      </c>
      <c r="D77" s="38" t="n">
        <v>4</v>
      </c>
      <c r="E77" s="38" t="inlineStr">
        <is>
          <t>8</t>
        </is>
      </c>
      <c r="F77" s="38" t="inlineStr"/>
      <c r="G77" s="29" t="inlineStr"/>
      <c r="H77" s="40" t="inlineStr"/>
      <c r="I77" s="36" t="inlineStr"/>
      <c r="J77" s="12" t="inlineStr"/>
      <c r="K77" s="8" t="inlineStr"/>
      <c r="L77" s="12" t="inlineStr"/>
    </row>
    <row r="78" ht="20" customHeight="1">
      <c r="A78" s="31" t="n">
        <v>3</v>
      </c>
      <c r="B78" s="30" t="inlineStr">
        <is>
          <t>Lat pulldown</t>
        </is>
      </c>
      <c r="C78" s="55" t="inlineStr">
        <is>
          <t>Acc</t>
        </is>
      </c>
      <c r="D78" s="29" t="n">
        <v>3</v>
      </c>
      <c r="E78" s="29" t="inlineStr">
        <is>
          <t>10</t>
        </is>
      </c>
      <c r="F78" s="29" t="inlineStr"/>
      <c r="G78" s="29" t="inlineStr"/>
      <c r="H78" s="31" t="inlineStr"/>
      <c r="I78" s="36" t="inlineStr"/>
      <c r="J78" s="12" t="inlineStr"/>
      <c r="K78" s="8" t="inlineStr"/>
      <c r="L78" s="12" t="inlineStr"/>
    </row>
    <row r="79" ht="20" customHeight="1">
      <c r="A79" s="40" t="n">
        <v>4</v>
      </c>
      <c r="B79" s="30" t="inlineStr">
        <is>
          <t>Lateral raise</t>
        </is>
      </c>
      <c r="C79" s="55" t="inlineStr">
        <is>
          <t>Acc</t>
        </is>
      </c>
      <c r="D79" s="38" t="n">
        <v>3</v>
      </c>
      <c r="E79" s="38" t="inlineStr">
        <is>
          <t>15</t>
        </is>
      </c>
      <c r="F79" s="38" t="inlineStr"/>
      <c r="G79" s="29" t="inlineStr"/>
      <c r="H79" s="40" t="inlineStr"/>
      <c r="I79" s="36" t="inlineStr"/>
      <c r="J79" s="12" t="inlineStr"/>
      <c r="K79" s="8" t="inlineStr"/>
      <c r="L79" s="12" t="inlineStr"/>
    </row>
    <row r="80" ht="20" customHeight="1">
      <c r="A80" s="31" t="n">
        <v>5</v>
      </c>
      <c r="B80" s="30" t="inlineStr">
        <is>
          <t>Curl</t>
        </is>
      </c>
      <c r="C80" s="55" t="inlineStr">
        <is>
          <t>Acc</t>
        </is>
      </c>
      <c r="D80" s="29" t="n">
        <v>3</v>
      </c>
      <c r="E80" s="29" t="inlineStr">
        <is>
          <t>10</t>
        </is>
      </c>
      <c r="F80" s="29" t="inlineStr"/>
      <c r="G80" s="29" t="inlineStr"/>
      <c r="H80" s="31" t="inlineStr"/>
      <c r="I80" s="36" t="inlineStr"/>
      <c r="J80" s="12" t="inlineStr"/>
      <c r="K80" s="8" t="inlineStr"/>
      <c r="L80" s="12" t="inlineStr"/>
    </row>
    <row r="81" ht="20" customHeight="1">
      <c r="A81" s="40" t="n">
        <v>6</v>
      </c>
      <c r="B81" s="30" t="inlineStr">
        <is>
          <t>Pallof press</t>
        </is>
      </c>
      <c r="C81" s="55" t="inlineStr">
        <is>
          <t>Acc</t>
        </is>
      </c>
      <c r="D81" s="38" t="n">
        <v>3</v>
      </c>
      <c r="E81" s="38" t="inlineStr">
        <is>
          <t>10/side</t>
        </is>
      </c>
      <c r="F81" s="38" t="inlineStr"/>
      <c r="G81" s="29" t="inlineStr"/>
      <c r="H81" s="40" t="inlineStr"/>
      <c r="I81" s="36" t="inlineStr"/>
      <c r="J81" s="12" t="inlineStr"/>
      <c r="K81" s="8" t="inlineStr"/>
      <c r="L81" s="12" t="inlineStr"/>
    </row>
    <row r="82"/>
    <row r="83" ht="22" customHeight="1">
      <c r="A83" s="51" t="inlineStr">
        <is>
          <t>Day 5 : Saturday — Squat variant + Rack Pull</t>
        </is>
      </c>
    </row>
    <row r="84" ht="32" customHeight="1">
      <c r="A84" s="52" t="inlineStr">
        <is>
          <t>💡 Coaching Rationale: Rack pull climbs to 84% for 4x2 — tracking the same double-focused intensification pattern as the other three lifts.</t>
        </is>
      </c>
    </row>
    <row r="85" ht="22" customHeight="1">
      <c r="A85" s="53" t="inlineStr">
        <is>
          <t>#</t>
        </is>
      </c>
      <c r="B85" s="53" t="inlineStr">
        <is>
          <t>Exercise</t>
        </is>
      </c>
      <c r="C85" s="53" t="inlineStr">
        <is>
          <t>Type</t>
        </is>
      </c>
      <c r="D85" s="53" t="inlineStr">
        <is>
          <t>Sets</t>
        </is>
      </c>
      <c r="E85" s="53" t="inlineStr">
        <is>
          <t>Reps</t>
        </is>
      </c>
      <c r="F85" s="53" t="inlineStr">
        <is>
          <t>% TM</t>
        </is>
      </c>
      <c r="G85" s="53" t="inlineStr">
        <is>
          <t>Prescribed Weight</t>
        </is>
      </c>
      <c r="H85" s="53" t="inlineStr">
        <is>
          <t>Target RPE</t>
        </is>
      </c>
      <c r="I85" s="53" t="inlineStr">
        <is>
          <t>Prescription Notes</t>
        </is>
      </c>
      <c r="J85" s="53" t="inlineStr">
        <is>
          <t>Actual Weight</t>
        </is>
      </c>
      <c r="K85" s="53" t="inlineStr">
        <is>
          <t>Actual Reps</t>
        </is>
      </c>
      <c r="L85" s="53" t="inlineStr">
        <is>
          <t>Done?</t>
        </is>
      </c>
    </row>
    <row r="86" ht="20" customHeight="1">
      <c r="A86" s="31" t="n">
        <v>1</v>
      </c>
      <c r="B86" s="32" t="inlineStr">
        <is>
          <t>Paused squat</t>
        </is>
      </c>
      <c r="C86" s="54" t="inlineStr">
        <is>
          <t>MAIN</t>
        </is>
      </c>
      <c r="D86" s="27" t="n">
        <v>3</v>
      </c>
      <c r="E86" s="27" t="inlineStr">
        <is>
          <t>3</t>
        </is>
      </c>
      <c r="F86" s="34" t="n">
        <v>0.75</v>
      </c>
      <c r="G86" s="35">
        <f>ROUND('Setup &amp; Dashboard'!$E$7*0.75/5, 0)*5</f>
        <v/>
      </c>
      <c r="H86" s="27" t="inlineStr">
        <is>
          <t>RPE 7-8</t>
        </is>
      </c>
      <c r="I86" s="36" t="inlineStr"/>
      <c r="J86" s="12" t="inlineStr"/>
      <c r="K86" s="8" t="inlineStr"/>
      <c r="L86" s="12" t="inlineStr"/>
    </row>
    <row r="87" ht="20" customHeight="1">
      <c r="A87" s="31" t="n">
        <v>2</v>
      </c>
      <c r="B87" s="32" t="inlineStr">
        <is>
          <t>Rack pull</t>
        </is>
      </c>
      <c r="C87" s="54" t="inlineStr">
        <is>
          <t>MAIN</t>
        </is>
      </c>
      <c r="D87" s="27" t="n">
        <v>4</v>
      </c>
      <c r="E87" s="27" t="inlineStr">
        <is>
          <t>2</t>
        </is>
      </c>
      <c r="F87" s="34" t="n">
        <v>0.84</v>
      </c>
      <c r="G87" s="35">
        <f>ROUND('Setup &amp; Dashboard'!$E$10*0.84/5, 0)*5</f>
        <v/>
      </c>
      <c r="H87" s="27" t="inlineStr">
        <is>
          <t>RPE 8</t>
        </is>
      </c>
      <c r="I87" s="36" t="inlineStr"/>
      <c r="J87" s="12" t="inlineStr"/>
      <c r="K87" s="8" t="inlineStr"/>
      <c r="L87" s="12" t="inlineStr"/>
    </row>
    <row r="88" ht="20" customHeight="1">
      <c r="A88" s="31" t="n">
        <v>3</v>
      </c>
      <c r="B88" s="30" t="inlineStr">
        <is>
          <t>Reverse hyper</t>
        </is>
      </c>
      <c r="C88" s="55" t="inlineStr">
        <is>
          <t>Acc</t>
        </is>
      </c>
      <c r="D88" s="29" t="n">
        <v>2</v>
      </c>
      <c r="E88" s="29" t="inlineStr">
        <is>
          <t>10-12</t>
        </is>
      </c>
      <c r="F88" s="29" t="inlineStr"/>
      <c r="G88" s="29" t="inlineStr"/>
      <c r="H88" s="31" t="inlineStr"/>
      <c r="I88" s="36" t="inlineStr"/>
      <c r="J88" s="12" t="inlineStr"/>
      <c r="K88" s="8" t="inlineStr"/>
      <c r="L88" s="12" t="inlineStr"/>
    </row>
    <row r="89" ht="20" customHeight="1">
      <c r="A89" s="40" t="n">
        <v>4</v>
      </c>
      <c r="B89" s="30" t="inlineStr">
        <is>
          <t>GHR or Nordic curl</t>
        </is>
      </c>
      <c r="C89" s="55" t="inlineStr">
        <is>
          <t>Acc</t>
        </is>
      </c>
      <c r="D89" s="38" t="n">
        <v>3</v>
      </c>
      <c r="E89" s="38" t="inlineStr">
        <is>
          <t>8</t>
        </is>
      </c>
      <c r="F89" s="38" t="inlineStr"/>
      <c r="G89" s="29" t="inlineStr"/>
      <c r="H89" s="40" t="inlineStr"/>
      <c r="I89" s="36" t="inlineStr"/>
      <c r="J89" s="12" t="inlineStr"/>
      <c r="K89" s="8" t="inlineStr"/>
      <c r="L89" s="12" t="inlineStr"/>
    </row>
    <row r="90"/>
    <row r="91"/>
    <row r="92" ht="26" customHeight="1">
      <c r="A92" s="58" t="inlineStr">
        <is>
          <t>WEEK 8 — INTENSIFICATION</t>
        </is>
      </c>
    </row>
    <row r="93" ht="22" customHeight="1">
      <c r="A93" s="51" t="inlineStr">
        <is>
          <t>Day 1 : Monday — Squat</t>
        </is>
      </c>
    </row>
    <row r="94" ht="48" customHeight="1">
      <c r="A94" s="52" t="inlineStr">
        <is>
          <t>💡 Coaching Rationale: 4x2 @ 90%, RPE 8-9 — you're now within range of what a competition attempt will feel like. Set count drops to 4 as the weight gets heavy enough that quality on every rep matters more than total reps accumulated.</t>
        </is>
      </c>
    </row>
    <row r="95" ht="22" customHeight="1">
      <c r="A95" s="53" t="inlineStr">
        <is>
          <t>#</t>
        </is>
      </c>
      <c r="B95" s="53" t="inlineStr">
        <is>
          <t>Exercise</t>
        </is>
      </c>
      <c r="C95" s="53" t="inlineStr">
        <is>
          <t>Type</t>
        </is>
      </c>
      <c r="D95" s="53" t="inlineStr">
        <is>
          <t>Sets</t>
        </is>
      </c>
      <c r="E95" s="53" t="inlineStr">
        <is>
          <t>Reps</t>
        </is>
      </c>
      <c r="F95" s="53" t="inlineStr">
        <is>
          <t>% TM</t>
        </is>
      </c>
      <c r="G95" s="53" t="inlineStr">
        <is>
          <t>Prescribed Weight</t>
        </is>
      </c>
      <c r="H95" s="53" t="inlineStr">
        <is>
          <t>Target RPE</t>
        </is>
      </c>
      <c r="I95" s="53" t="inlineStr">
        <is>
          <t>Prescription Notes</t>
        </is>
      </c>
      <c r="J95" s="53" t="inlineStr">
        <is>
          <t>Actual Weight</t>
        </is>
      </c>
      <c r="K95" s="53" t="inlineStr">
        <is>
          <t>Actual Reps</t>
        </is>
      </c>
      <c r="L95" s="53" t="inlineStr">
        <is>
          <t>Done?</t>
        </is>
      </c>
    </row>
    <row r="96" ht="20" customHeight="1">
      <c r="A96" s="31" t="n">
        <v>1</v>
      </c>
      <c r="B96" s="32" t="inlineStr">
        <is>
          <t>Squat</t>
        </is>
      </c>
      <c r="C96" s="54" t="inlineStr">
        <is>
          <t>MAIN</t>
        </is>
      </c>
      <c r="D96" s="27" t="n">
        <v>4</v>
      </c>
      <c r="E96" s="27" t="inlineStr">
        <is>
          <t>2</t>
        </is>
      </c>
      <c r="F96" s="34" t="n">
        <v>0.9</v>
      </c>
      <c r="G96" s="35">
        <f>ROUND('Setup &amp; Dashboard'!$E$7*0.9/5, 0)*5</f>
        <v/>
      </c>
      <c r="H96" s="27" t="inlineStr">
        <is>
          <t>RPE 8-9</t>
        </is>
      </c>
      <c r="I96" s="36" t="inlineStr"/>
      <c r="J96" s="12" t="inlineStr"/>
      <c r="K96" s="8" t="inlineStr"/>
      <c r="L96" s="12" t="inlineStr"/>
    </row>
    <row r="97" ht="20" customHeight="1">
      <c r="A97" s="40" t="n">
        <v>2</v>
      </c>
      <c r="B97" s="30" t="inlineStr">
        <is>
          <t>Split squat</t>
        </is>
      </c>
      <c r="C97" s="55" t="inlineStr">
        <is>
          <t>Acc</t>
        </is>
      </c>
      <c r="D97" s="38" t="n">
        <v>2</v>
      </c>
      <c r="E97" s="38" t="inlineStr">
        <is>
          <t>8/leg</t>
        </is>
      </c>
      <c r="F97" s="38" t="inlineStr"/>
      <c r="G97" s="29" t="inlineStr"/>
      <c r="H97" s="40" t="inlineStr"/>
      <c r="I97" s="36" t="inlineStr"/>
      <c r="J97" s="12" t="inlineStr"/>
      <c r="K97" s="8" t="inlineStr"/>
      <c r="L97" s="12" t="inlineStr"/>
    </row>
    <row r="98" ht="20" customHeight="1">
      <c r="A98" s="31" t="n">
        <v>3</v>
      </c>
      <c r="B98" s="30" t="inlineStr">
        <is>
          <t>Leg curl</t>
        </is>
      </c>
      <c r="C98" s="55" t="inlineStr">
        <is>
          <t>Acc</t>
        </is>
      </c>
      <c r="D98" s="29" t="n">
        <v>2</v>
      </c>
      <c r="E98" s="29" t="inlineStr">
        <is>
          <t>10</t>
        </is>
      </c>
      <c r="F98" s="29" t="inlineStr"/>
      <c r="G98" s="29" t="inlineStr"/>
      <c r="H98" s="31" t="inlineStr"/>
      <c r="I98" s="36" t="inlineStr"/>
      <c r="J98" s="12" t="inlineStr"/>
      <c r="K98" s="8" t="inlineStr"/>
      <c r="L98" s="12" t="inlineStr"/>
    </row>
    <row r="99" ht="20" customHeight="1">
      <c r="A99" s="40" t="n">
        <v>4</v>
      </c>
      <c r="B99" s="30" t="inlineStr">
        <is>
          <t>Copenhagen plank</t>
        </is>
      </c>
      <c r="C99" s="55" t="inlineStr">
        <is>
          <t>Acc</t>
        </is>
      </c>
      <c r="D99" s="38" t="n">
        <v>3</v>
      </c>
      <c r="E99" s="38" t="inlineStr">
        <is>
          <t>15-20sec/side</t>
        </is>
      </c>
      <c r="F99" s="38" t="inlineStr"/>
      <c r="G99" s="29" t="inlineStr"/>
      <c r="H99" s="40" t="inlineStr"/>
      <c r="I99" s="36" t="inlineStr"/>
      <c r="J99" s="12" t="inlineStr"/>
      <c r="K99" s="8" t="inlineStr"/>
      <c r="L99" s="12" t="inlineStr"/>
    </row>
    <row r="100"/>
    <row r="101" ht="22" customHeight="1">
      <c r="A101" s="51" t="inlineStr">
        <is>
          <t>Day 2 : Tuesday — Bench</t>
        </is>
      </c>
    </row>
    <row r="102" ht="26" customHeight="1">
      <c r="A102" s="52" t="inlineStr">
        <is>
          <t>💡 Coaching Rationale: 5x2 @ 90%, RPE 8-9 — same logic, same intensity.</t>
        </is>
      </c>
    </row>
    <row r="103" ht="22" customHeight="1">
      <c r="A103" s="53" t="inlineStr">
        <is>
          <t>#</t>
        </is>
      </c>
      <c r="B103" s="53" t="inlineStr">
        <is>
          <t>Exercise</t>
        </is>
      </c>
      <c r="C103" s="53" t="inlineStr">
        <is>
          <t>Type</t>
        </is>
      </c>
      <c r="D103" s="53" t="inlineStr">
        <is>
          <t>Sets</t>
        </is>
      </c>
      <c r="E103" s="53" t="inlineStr">
        <is>
          <t>Reps</t>
        </is>
      </c>
      <c r="F103" s="53" t="inlineStr">
        <is>
          <t>% TM</t>
        </is>
      </c>
      <c r="G103" s="53" t="inlineStr">
        <is>
          <t>Prescribed Weight</t>
        </is>
      </c>
      <c r="H103" s="53" t="inlineStr">
        <is>
          <t>Target RPE</t>
        </is>
      </c>
      <c r="I103" s="53" t="inlineStr">
        <is>
          <t>Prescription Notes</t>
        </is>
      </c>
      <c r="J103" s="53" t="inlineStr">
        <is>
          <t>Actual Weight</t>
        </is>
      </c>
      <c r="K103" s="53" t="inlineStr">
        <is>
          <t>Actual Reps</t>
        </is>
      </c>
      <c r="L103" s="53" t="inlineStr">
        <is>
          <t>Done?</t>
        </is>
      </c>
    </row>
    <row r="104" ht="20" customHeight="1">
      <c r="A104" s="31" t="n">
        <v>1</v>
      </c>
      <c r="B104" s="32" t="inlineStr">
        <is>
          <t>Bench</t>
        </is>
      </c>
      <c r="C104" s="54" t="inlineStr">
        <is>
          <t>MAIN</t>
        </is>
      </c>
      <c r="D104" s="27" t="n">
        <v>5</v>
      </c>
      <c r="E104" s="27" t="inlineStr">
        <is>
          <t>2</t>
        </is>
      </c>
      <c r="F104" s="34" t="n">
        <v>0.9</v>
      </c>
      <c r="G104" s="35">
        <f>ROUND('Setup &amp; Dashboard'!$E$8*0.9/5, 0)*5</f>
        <v/>
      </c>
      <c r="H104" s="27" t="inlineStr">
        <is>
          <t>RPE 8-9</t>
        </is>
      </c>
      <c r="I104" s="36" t="inlineStr"/>
      <c r="J104" s="12" t="inlineStr"/>
      <c r="K104" s="8" t="inlineStr"/>
      <c r="L104" s="12" t="inlineStr"/>
    </row>
    <row r="105" ht="20" customHeight="1">
      <c r="A105" s="40" t="n">
        <v>2</v>
      </c>
      <c r="B105" s="30" t="inlineStr">
        <is>
          <t>Close-grip bench</t>
        </is>
      </c>
      <c r="C105" s="55" t="inlineStr">
        <is>
          <t>Acc</t>
        </is>
      </c>
      <c r="D105" s="38" t="n">
        <v>3</v>
      </c>
      <c r="E105" s="38" t="inlineStr">
        <is>
          <t>4</t>
        </is>
      </c>
      <c r="F105" s="38" t="inlineStr"/>
      <c r="G105" s="29" t="inlineStr"/>
      <c r="H105" s="40" t="inlineStr"/>
      <c r="I105" s="36" t="inlineStr"/>
      <c r="J105" s="12" t="inlineStr"/>
      <c r="K105" s="8" t="inlineStr"/>
      <c r="L105" s="12" t="inlineStr"/>
    </row>
    <row r="106" ht="20" customHeight="1">
      <c r="A106" s="31" t="n">
        <v>3</v>
      </c>
      <c r="B106" s="30" t="inlineStr">
        <is>
          <t>Incline DB press</t>
        </is>
      </c>
      <c r="C106" s="55" t="inlineStr">
        <is>
          <t>Acc</t>
        </is>
      </c>
      <c r="D106" s="29" t="n">
        <v>2</v>
      </c>
      <c r="E106" s="29" t="inlineStr">
        <is>
          <t>8</t>
        </is>
      </c>
      <c r="F106" s="29" t="inlineStr"/>
      <c r="G106" s="29" t="inlineStr"/>
      <c r="H106" s="31" t="inlineStr"/>
      <c r="I106" s="36" t="inlineStr"/>
      <c r="J106" s="12" t="inlineStr"/>
      <c r="K106" s="8" t="inlineStr"/>
      <c r="L106" s="12" t="inlineStr"/>
    </row>
    <row r="107" ht="20" customHeight="1">
      <c r="A107" s="40" t="n">
        <v>4</v>
      </c>
      <c r="B107" s="30" t="inlineStr">
        <is>
          <t>Triceps pressdown</t>
        </is>
      </c>
      <c r="C107" s="55" t="inlineStr">
        <is>
          <t>Acc</t>
        </is>
      </c>
      <c r="D107" s="38" t="n">
        <v>2</v>
      </c>
      <c r="E107" s="38" t="inlineStr">
        <is>
          <t>12</t>
        </is>
      </c>
      <c r="F107" s="38" t="inlineStr"/>
      <c r="G107" s="29" t="inlineStr"/>
      <c r="H107" s="40" t="inlineStr"/>
      <c r="I107" s="36" t="inlineStr"/>
      <c r="J107" s="12" t="inlineStr"/>
      <c r="K107" s="8" t="inlineStr"/>
      <c r="L107" s="12" t="inlineStr"/>
    </row>
    <row r="108" ht="20" customHeight="1">
      <c r="A108" s="31" t="n">
        <v>5</v>
      </c>
      <c r="B108" s="30" t="inlineStr">
        <is>
          <t>Face pull</t>
        </is>
      </c>
      <c r="C108" s="55" t="inlineStr">
        <is>
          <t>Acc</t>
        </is>
      </c>
      <c r="D108" s="29" t="n">
        <v>2</v>
      </c>
      <c r="E108" s="29" t="inlineStr">
        <is>
          <t>15</t>
        </is>
      </c>
      <c r="F108" s="29" t="inlineStr"/>
      <c r="G108" s="29" t="inlineStr"/>
      <c r="H108" s="31" t="inlineStr"/>
      <c r="I108" s="36" t="inlineStr"/>
      <c r="J108" s="12" t="inlineStr"/>
      <c r="K108" s="8" t="inlineStr"/>
      <c r="L108" s="12" t="inlineStr"/>
    </row>
    <row r="109"/>
    <row r="110" ht="22" customHeight="1">
      <c r="A110" s="51" t="inlineStr">
        <is>
          <t>Day 3 : Thursday — Deadlift</t>
        </is>
      </c>
    </row>
    <row r="111" ht="48" customHeight="1">
      <c r="A111" s="52" t="inlineStr">
        <is>
          <t>💡 Coaching Rationale: 3x2 @ 89%, RPE 8-9 — deadlift's lower set count here isn't a weakness in the program, it's intentional: this is the heaviest deadlift has been all cycle, and 3 quality doubles is enough stimulus without over-costing next week's recovery.</t>
        </is>
      </c>
    </row>
    <row r="112" ht="22" customHeight="1">
      <c r="A112" s="53" t="inlineStr">
        <is>
          <t>#</t>
        </is>
      </c>
      <c r="B112" s="53" t="inlineStr">
        <is>
          <t>Exercise</t>
        </is>
      </c>
      <c r="C112" s="53" t="inlineStr">
        <is>
          <t>Type</t>
        </is>
      </c>
      <c r="D112" s="53" t="inlineStr">
        <is>
          <t>Sets</t>
        </is>
      </c>
      <c r="E112" s="53" t="inlineStr">
        <is>
          <t>Reps</t>
        </is>
      </c>
      <c r="F112" s="53" t="inlineStr">
        <is>
          <t>% TM</t>
        </is>
      </c>
      <c r="G112" s="53" t="inlineStr">
        <is>
          <t>Prescribed Weight</t>
        </is>
      </c>
      <c r="H112" s="53" t="inlineStr">
        <is>
          <t>Target RPE</t>
        </is>
      </c>
      <c r="I112" s="53" t="inlineStr">
        <is>
          <t>Prescription Notes</t>
        </is>
      </c>
      <c r="J112" s="53" t="inlineStr">
        <is>
          <t>Actual Weight</t>
        </is>
      </c>
      <c r="K112" s="53" t="inlineStr">
        <is>
          <t>Actual Reps</t>
        </is>
      </c>
      <c r="L112" s="53" t="inlineStr">
        <is>
          <t>Done?</t>
        </is>
      </c>
    </row>
    <row r="113" ht="20" customHeight="1">
      <c r="A113" s="31" t="n">
        <v>1</v>
      </c>
      <c r="B113" s="32" t="inlineStr">
        <is>
          <t>Deadlift</t>
        </is>
      </c>
      <c r="C113" s="54" t="inlineStr">
        <is>
          <t>MAIN</t>
        </is>
      </c>
      <c r="D113" s="27" t="n">
        <v>3</v>
      </c>
      <c r="E113" s="27" t="inlineStr">
        <is>
          <t>2</t>
        </is>
      </c>
      <c r="F113" s="34" t="n">
        <v>0.89</v>
      </c>
      <c r="G113" s="35">
        <f>ROUND('Setup &amp; Dashboard'!$E$9*0.89/5, 0)*5</f>
        <v/>
      </c>
      <c r="H113" s="27" t="inlineStr">
        <is>
          <t>RPE 8-9</t>
        </is>
      </c>
      <c r="I113" s="36" t="inlineStr"/>
      <c r="J113" s="12" t="inlineStr"/>
      <c r="K113" s="8" t="inlineStr"/>
      <c r="L113" s="12" t="inlineStr"/>
    </row>
    <row r="114" ht="20" customHeight="1">
      <c r="A114" s="31" t="n">
        <v>2</v>
      </c>
      <c r="B114" s="30" t="inlineStr">
        <is>
          <t>Reverse hyper</t>
        </is>
      </c>
      <c r="C114" s="55" t="inlineStr">
        <is>
          <t>Acc</t>
        </is>
      </c>
      <c r="D114" s="29" t="n">
        <v>2</v>
      </c>
      <c r="E114" s="29" t="inlineStr">
        <is>
          <t>10</t>
        </is>
      </c>
      <c r="F114" s="29" t="inlineStr"/>
      <c r="G114" s="29" t="inlineStr"/>
      <c r="H114" s="31" t="inlineStr"/>
      <c r="I114" s="36" t="inlineStr"/>
      <c r="J114" s="12" t="inlineStr"/>
      <c r="K114" s="8" t="inlineStr"/>
      <c r="L114" s="12" t="inlineStr"/>
    </row>
    <row r="115" ht="20" customHeight="1">
      <c r="A115" s="40" t="n">
        <v>3</v>
      </c>
      <c r="B115" s="30" t="inlineStr">
        <is>
          <t>Jefferson curl</t>
        </is>
      </c>
      <c r="C115" s="55" t="inlineStr">
        <is>
          <t>Acc</t>
        </is>
      </c>
      <c r="D115" s="38" t="n">
        <v>2</v>
      </c>
      <c r="E115" s="38" t="inlineStr">
        <is>
          <t>6</t>
        </is>
      </c>
      <c r="F115" s="38" t="inlineStr"/>
      <c r="G115" s="29" t="inlineStr"/>
      <c r="H115" s="40" t="inlineStr"/>
      <c r="I115" s="36" t="inlineStr"/>
      <c r="J115" s="12" t="inlineStr"/>
      <c r="K115" s="8" t="inlineStr"/>
      <c r="L115" s="12" t="inlineStr"/>
    </row>
    <row r="116"/>
    <row r="117" ht="22" customHeight="1">
      <c r="A117" s="51" t="inlineStr">
        <is>
          <t>Day 4 : Friday — Bench variant / upper body</t>
        </is>
      </c>
    </row>
    <row r="118" ht="32" customHeight="1">
      <c r="A118" s="52" t="inlineStr">
        <is>
          <t>💡 Coaching Rationale: Accessory volume trims down further (2-3 sets across the board) — a sign the week's real work has already happened on Days 1-3 and this session exists to support, not add stress.</t>
        </is>
      </c>
    </row>
    <row r="119" ht="22" customHeight="1">
      <c r="A119" s="53" t="inlineStr">
        <is>
          <t>#</t>
        </is>
      </c>
      <c r="B119" s="53" t="inlineStr">
        <is>
          <t>Exercise</t>
        </is>
      </c>
      <c r="C119" s="53" t="inlineStr">
        <is>
          <t>Type</t>
        </is>
      </c>
      <c r="D119" s="53" t="inlineStr">
        <is>
          <t>Sets</t>
        </is>
      </c>
      <c r="E119" s="53" t="inlineStr">
        <is>
          <t>Reps</t>
        </is>
      </c>
      <c r="F119" s="53" t="inlineStr">
        <is>
          <t>% TM</t>
        </is>
      </c>
      <c r="G119" s="53" t="inlineStr">
        <is>
          <t>Prescribed Weight</t>
        </is>
      </c>
      <c r="H119" s="53" t="inlineStr">
        <is>
          <t>Target RPE</t>
        </is>
      </c>
      <c r="I119" s="53" t="inlineStr">
        <is>
          <t>Prescription Notes</t>
        </is>
      </c>
      <c r="J119" s="53" t="inlineStr">
        <is>
          <t>Actual Weight</t>
        </is>
      </c>
      <c r="K119" s="53" t="inlineStr">
        <is>
          <t>Actual Reps</t>
        </is>
      </c>
      <c r="L119" s="53" t="inlineStr">
        <is>
          <t>Done?</t>
        </is>
      </c>
    </row>
    <row r="120" ht="20" customHeight="1">
      <c r="A120" s="31" t="n">
        <v>1</v>
      </c>
      <c r="B120" s="32" t="inlineStr">
        <is>
          <t>Paused bench</t>
        </is>
      </c>
      <c r="C120" s="54" t="inlineStr">
        <is>
          <t>MAIN</t>
        </is>
      </c>
      <c r="D120" s="27" t="n">
        <v>3</v>
      </c>
      <c r="E120" s="27" t="inlineStr">
        <is>
          <t>2</t>
        </is>
      </c>
      <c r="F120" s="34" t="n">
        <v>0.7</v>
      </c>
      <c r="G120" s="35">
        <f>ROUND('Setup &amp; Dashboard'!$E$8*0.7/5, 0)*5</f>
        <v/>
      </c>
      <c r="H120" s="27" t="inlineStr">
        <is>
          <t>RPE 7</t>
        </is>
      </c>
      <c r="I120" s="36" t="inlineStr"/>
      <c r="J120" s="12" t="inlineStr"/>
      <c r="K120" s="8" t="inlineStr"/>
      <c r="L120" s="12" t="inlineStr"/>
    </row>
    <row r="121" ht="20" customHeight="1">
      <c r="A121" s="40" t="n">
        <v>2</v>
      </c>
      <c r="B121" s="30" t="inlineStr">
        <is>
          <t>Chest-supported row</t>
        </is>
      </c>
      <c r="C121" s="55" t="inlineStr">
        <is>
          <t>Acc</t>
        </is>
      </c>
      <c r="D121" s="38" t="n">
        <v>3</v>
      </c>
      <c r="E121" s="38" t="inlineStr">
        <is>
          <t>8</t>
        </is>
      </c>
      <c r="F121" s="38" t="inlineStr"/>
      <c r="G121" s="29" t="inlineStr"/>
      <c r="H121" s="40" t="inlineStr"/>
      <c r="I121" s="36" t="inlineStr"/>
      <c r="J121" s="12" t="inlineStr"/>
      <c r="K121" s="8" t="inlineStr"/>
      <c r="L121" s="12" t="inlineStr"/>
    </row>
    <row r="122" ht="20" customHeight="1">
      <c r="A122" s="31" t="n">
        <v>3</v>
      </c>
      <c r="B122" s="30" t="inlineStr">
        <is>
          <t>Lat pulldown</t>
        </is>
      </c>
      <c r="C122" s="55" t="inlineStr">
        <is>
          <t>Acc</t>
        </is>
      </c>
      <c r="D122" s="29" t="n">
        <v>3</v>
      </c>
      <c r="E122" s="29" t="inlineStr">
        <is>
          <t>10</t>
        </is>
      </c>
      <c r="F122" s="29" t="inlineStr"/>
      <c r="G122" s="29" t="inlineStr"/>
      <c r="H122" s="31" t="inlineStr"/>
      <c r="I122" s="36" t="inlineStr"/>
      <c r="J122" s="12" t="inlineStr"/>
      <c r="K122" s="8" t="inlineStr"/>
      <c r="L122" s="12" t="inlineStr"/>
    </row>
    <row r="123" ht="20" customHeight="1">
      <c r="A123" s="40" t="n">
        <v>4</v>
      </c>
      <c r="B123" s="30" t="inlineStr">
        <is>
          <t>Lateral raise</t>
        </is>
      </c>
      <c r="C123" s="55" t="inlineStr">
        <is>
          <t>Acc</t>
        </is>
      </c>
      <c r="D123" s="38" t="n">
        <v>3</v>
      </c>
      <c r="E123" s="38" t="inlineStr">
        <is>
          <t>15</t>
        </is>
      </c>
      <c r="F123" s="38" t="inlineStr"/>
      <c r="G123" s="29" t="inlineStr"/>
      <c r="H123" s="40" t="inlineStr"/>
      <c r="I123" s="36" t="inlineStr"/>
      <c r="J123" s="12" t="inlineStr"/>
      <c r="K123" s="8" t="inlineStr"/>
      <c r="L123" s="12" t="inlineStr"/>
    </row>
    <row r="124" ht="20" customHeight="1">
      <c r="A124" s="31" t="n">
        <v>5</v>
      </c>
      <c r="B124" s="30" t="inlineStr">
        <is>
          <t>Curl</t>
        </is>
      </c>
      <c r="C124" s="55" t="inlineStr">
        <is>
          <t>Acc</t>
        </is>
      </c>
      <c r="D124" s="29" t="n">
        <v>3</v>
      </c>
      <c r="E124" s="29" t="inlineStr">
        <is>
          <t>10</t>
        </is>
      </c>
      <c r="F124" s="29" t="inlineStr"/>
      <c r="G124" s="29" t="inlineStr"/>
      <c r="H124" s="31" t="inlineStr"/>
      <c r="I124" s="36" t="inlineStr"/>
      <c r="J124" s="12" t="inlineStr"/>
      <c r="K124" s="8" t="inlineStr"/>
      <c r="L124" s="12" t="inlineStr"/>
    </row>
    <row r="125" ht="20" customHeight="1">
      <c r="A125" s="40" t="n">
        <v>6</v>
      </c>
      <c r="B125" s="30" t="inlineStr">
        <is>
          <t>Pallof press</t>
        </is>
      </c>
      <c r="C125" s="55" t="inlineStr">
        <is>
          <t>Acc</t>
        </is>
      </c>
      <c r="D125" s="38" t="n">
        <v>2</v>
      </c>
      <c r="E125" s="38" t="inlineStr">
        <is>
          <t>10/side</t>
        </is>
      </c>
      <c r="F125" s="38" t="inlineStr"/>
      <c r="G125" s="29" t="inlineStr"/>
      <c r="H125" s="40" t="inlineStr"/>
      <c r="I125" s="36" t="inlineStr"/>
      <c r="J125" s="12" t="inlineStr"/>
      <c r="K125" s="8" t="inlineStr"/>
      <c r="L125" s="12" t="inlineStr"/>
    </row>
    <row r="126"/>
    <row r="127" ht="22" customHeight="1">
      <c r="A127" s="51" t="inlineStr">
        <is>
          <t>Day 5 : Saturday — Squat variant + Rack Pull</t>
        </is>
      </c>
    </row>
    <row r="128" ht="32" customHeight="1">
      <c r="A128" s="52" t="inlineStr">
        <is>
          <t>💡 Coaching Rationale: Rack pull hits 88% for 3x2, its heaviest point yet — matching deadlift and squat's approach to this stage of the block.</t>
        </is>
      </c>
    </row>
    <row r="129" ht="22" customHeight="1">
      <c r="A129" s="53" t="inlineStr">
        <is>
          <t>#</t>
        </is>
      </c>
      <c r="B129" s="53" t="inlineStr">
        <is>
          <t>Exercise</t>
        </is>
      </c>
      <c r="C129" s="53" t="inlineStr">
        <is>
          <t>Type</t>
        </is>
      </c>
      <c r="D129" s="53" t="inlineStr">
        <is>
          <t>Sets</t>
        </is>
      </c>
      <c r="E129" s="53" t="inlineStr">
        <is>
          <t>Reps</t>
        </is>
      </c>
      <c r="F129" s="53" t="inlineStr">
        <is>
          <t>% TM</t>
        </is>
      </c>
      <c r="G129" s="53" t="inlineStr">
        <is>
          <t>Prescribed Weight</t>
        </is>
      </c>
      <c r="H129" s="53" t="inlineStr">
        <is>
          <t>Target RPE</t>
        </is>
      </c>
      <c r="I129" s="53" t="inlineStr">
        <is>
          <t>Prescription Notes</t>
        </is>
      </c>
      <c r="J129" s="53" t="inlineStr">
        <is>
          <t>Actual Weight</t>
        </is>
      </c>
      <c r="K129" s="53" t="inlineStr">
        <is>
          <t>Actual Reps</t>
        </is>
      </c>
      <c r="L129" s="53" t="inlineStr">
        <is>
          <t>Done?</t>
        </is>
      </c>
    </row>
    <row r="130" ht="20" customHeight="1">
      <c r="A130" s="31" t="n">
        <v>1</v>
      </c>
      <c r="B130" s="32" t="inlineStr">
        <is>
          <t>Tempo squat</t>
        </is>
      </c>
      <c r="C130" s="54" t="inlineStr">
        <is>
          <t>MAIN</t>
        </is>
      </c>
      <c r="D130" s="27" t="n">
        <v>2</v>
      </c>
      <c r="E130" s="27" t="inlineStr">
        <is>
          <t>3</t>
        </is>
      </c>
      <c r="F130" s="34" t="n">
        <v>0.75</v>
      </c>
      <c r="G130" s="35">
        <f>ROUND('Setup &amp; Dashboard'!$E$7*0.75/5, 0)*5</f>
        <v/>
      </c>
      <c r="H130" s="27" t="inlineStr">
        <is>
          <t>RPE 7-8</t>
        </is>
      </c>
      <c r="I130" s="36" t="inlineStr"/>
      <c r="J130" s="12" t="inlineStr"/>
      <c r="K130" s="8" t="inlineStr"/>
      <c r="L130" s="12" t="inlineStr"/>
    </row>
    <row r="131" ht="20" customHeight="1">
      <c r="A131" s="31" t="n">
        <v>2</v>
      </c>
      <c r="B131" s="32" t="inlineStr">
        <is>
          <t>Rack pull</t>
        </is>
      </c>
      <c r="C131" s="54" t="inlineStr">
        <is>
          <t>MAIN</t>
        </is>
      </c>
      <c r="D131" s="27" t="n">
        <v>3</v>
      </c>
      <c r="E131" s="27" t="inlineStr">
        <is>
          <t>2</t>
        </is>
      </c>
      <c r="F131" s="34" t="n">
        <v>0.88</v>
      </c>
      <c r="G131" s="35">
        <f>ROUND('Setup &amp; Dashboard'!$E$10*0.88/5, 0)*5</f>
        <v/>
      </c>
      <c r="H131" s="27" t="inlineStr">
        <is>
          <t>RPE 8-9</t>
        </is>
      </c>
      <c r="I131" s="36" t="inlineStr"/>
      <c r="J131" s="12" t="inlineStr"/>
      <c r="K131" s="8" t="inlineStr"/>
      <c r="L131" s="12" t="inlineStr"/>
    </row>
    <row r="132" ht="20" customHeight="1">
      <c r="A132" s="31" t="n">
        <v>3</v>
      </c>
      <c r="B132" s="30" t="inlineStr">
        <is>
          <t>Reverse hyper</t>
        </is>
      </c>
      <c r="C132" s="55" t="inlineStr">
        <is>
          <t>Acc</t>
        </is>
      </c>
      <c r="D132" s="29" t="n">
        <v>2</v>
      </c>
      <c r="E132" s="29" t="inlineStr">
        <is>
          <t>10</t>
        </is>
      </c>
      <c r="F132" s="29" t="inlineStr"/>
      <c r="G132" s="29" t="inlineStr"/>
      <c r="H132" s="31" t="inlineStr"/>
      <c r="I132" s="36" t="inlineStr"/>
      <c r="J132" s="12" t="inlineStr"/>
      <c r="K132" s="8" t="inlineStr"/>
      <c r="L132" s="12" t="inlineStr"/>
    </row>
    <row r="133" ht="20" customHeight="1">
      <c r="A133" s="40" t="n">
        <v>4</v>
      </c>
      <c r="B133" s="30" t="inlineStr">
        <is>
          <t>GHR or Nordic curl</t>
        </is>
      </c>
      <c r="C133" s="55" t="inlineStr">
        <is>
          <t>Acc</t>
        </is>
      </c>
      <c r="D133" s="38" t="n">
        <v>2</v>
      </c>
      <c r="E133" s="38" t="inlineStr">
        <is>
          <t>8</t>
        </is>
      </c>
      <c r="F133" s="38" t="inlineStr"/>
      <c r="G133" s="29" t="inlineStr"/>
      <c r="H133" s="40" t="inlineStr"/>
      <c r="I133" s="36" t="inlineStr"/>
      <c r="J133" s="12" t="inlineStr"/>
      <c r="K133" s="8" t="inlineStr"/>
      <c r="L133" s="12" t="inlineStr"/>
    </row>
    <row r="134"/>
    <row r="135"/>
    <row r="136" ht="26" customHeight="1">
      <c r="A136" s="59" t="inlineStr">
        <is>
          <t>WEEK 9 — TOP OF INTENSIFICATION</t>
        </is>
      </c>
    </row>
    <row r="137" ht="22" customHeight="1">
      <c r="A137" s="51" t="inlineStr">
        <is>
          <t>Day 1 : Monday — Squat</t>
        </is>
      </c>
    </row>
    <row r="138" ht="80" customHeight="1">
      <c r="A138" s="52" t="inlineStr">
        <is>
          <t>💡 Coaching Rationale: 3x2 @ 90% with an optional single at 92% — this is the last near-max exposure before the taper begins, and it's deliberately capped rather than fixed. If your doubles feel fast and clean, the optional single gives you one true near-max data point; if they don't, skipping it protects the freshness you'll need in Weeks 11-13. This is the most important judgment call in the whole program — err toward skipping if in doubt.</t>
        </is>
      </c>
    </row>
    <row r="139" ht="22" customHeight="1">
      <c r="A139" s="53" t="inlineStr">
        <is>
          <t>#</t>
        </is>
      </c>
      <c r="B139" s="53" t="inlineStr">
        <is>
          <t>Exercise</t>
        </is>
      </c>
      <c r="C139" s="53" t="inlineStr">
        <is>
          <t>Type</t>
        </is>
      </c>
      <c r="D139" s="53" t="inlineStr">
        <is>
          <t>Sets</t>
        </is>
      </c>
      <c r="E139" s="53" t="inlineStr">
        <is>
          <t>Reps</t>
        </is>
      </c>
      <c r="F139" s="53" t="inlineStr">
        <is>
          <t>% TM</t>
        </is>
      </c>
      <c r="G139" s="53" t="inlineStr">
        <is>
          <t>Prescribed Weight</t>
        </is>
      </c>
      <c r="H139" s="53" t="inlineStr">
        <is>
          <t>Target RPE</t>
        </is>
      </c>
      <c r="I139" s="53" t="inlineStr">
        <is>
          <t>Prescription Notes</t>
        </is>
      </c>
      <c r="J139" s="53" t="inlineStr">
        <is>
          <t>Actual Weight</t>
        </is>
      </c>
      <c r="K139" s="53" t="inlineStr">
        <is>
          <t>Actual Reps</t>
        </is>
      </c>
      <c r="L139" s="53" t="inlineStr">
        <is>
          <t>Done?</t>
        </is>
      </c>
    </row>
    <row r="140" ht="20" customHeight="1">
      <c r="A140" s="31" t="n">
        <v>1</v>
      </c>
      <c r="B140" s="32" t="inlineStr">
        <is>
          <t>Squat</t>
        </is>
      </c>
      <c r="C140" s="54" t="inlineStr">
        <is>
          <t>MAIN</t>
        </is>
      </c>
      <c r="D140" s="27" t="n">
        <v>3</v>
      </c>
      <c r="E140" s="27" t="inlineStr">
        <is>
          <t>2</t>
        </is>
      </c>
      <c r="F140" s="34" t="n">
        <v>0.9</v>
      </c>
      <c r="G140" s="35">
        <f>ROUND('Setup &amp; Dashboard'!$E$7*0.9/5, 0)*5</f>
        <v/>
      </c>
      <c r="H140" s="27" t="inlineStr">
        <is>
          <t>RPE 8-9</t>
        </is>
      </c>
      <c r="I140" s="42" t="inlineStr">
        <is>
          <t>Optional top single @ 92% TM — only if bar speed on the last double was crisp. Skip if not.</t>
        </is>
      </c>
      <c r="J140" s="12" t="inlineStr"/>
      <c r="K140" s="8" t="inlineStr"/>
      <c r="L140" s="12" t="inlineStr"/>
    </row>
    <row r="141" ht="20" customHeight="1">
      <c r="A141" s="40" t="n">
        <v>2</v>
      </c>
      <c r="B141" s="30" t="inlineStr">
        <is>
          <t>Split squat</t>
        </is>
      </c>
      <c r="C141" s="55" t="inlineStr">
        <is>
          <t>Acc</t>
        </is>
      </c>
      <c r="D141" s="38" t="n">
        <v>2</v>
      </c>
      <c r="E141" s="38" t="inlineStr">
        <is>
          <t>8/leg</t>
        </is>
      </c>
      <c r="F141" s="38" t="inlineStr"/>
      <c r="G141" s="29" t="inlineStr"/>
      <c r="H141" s="40" t="inlineStr"/>
      <c r="I141" s="36" t="inlineStr"/>
      <c r="J141" s="12" t="inlineStr"/>
      <c r="K141" s="8" t="inlineStr"/>
      <c r="L141" s="12" t="inlineStr"/>
    </row>
    <row r="142" ht="20" customHeight="1">
      <c r="A142" s="31" t="n">
        <v>3</v>
      </c>
      <c r="B142" s="30" t="inlineStr">
        <is>
          <t>Leg curl</t>
        </is>
      </c>
      <c r="C142" s="55" t="inlineStr">
        <is>
          <t>Acc</t>
        </is>
      </c>
      <c r="D142" s="29" t="n">
        <v>2</v>
      </c>
      <c r="E142" s="29" t="inlineStr">
        <is>
          <t>10</t>
        </is>
      </c>
      <c r="F142" s="29" t="inlineStr"/>
      <c r="G142" s="29" t="inlineStr"/>
      <c r="H142" s="31" t="inlineStr"/>
      <c r="I142" s="36" t="inlineStr"/>
      <c r="J142" s="12" t="inlineStr"/>
      <c r="K142" s="8" t="inlineStr"/>
      <c r="L142" s="12" t="inlineStr"/>
    </row>
    <row r="143" ht="20" customHeight="1">
      <c r="A143" s="40" t="n">
        <v>4</v>
      </c>
      <c r="B143" s="30" t="inlineStr">
        <is>
          <t>Copenhagen plank</t>
        </is>
      </c>
      <c r="C143" s="55" t="inlineStr">
        <is>
          <t>Acc</t>
        </is>
      </c>
      <c r="D143" s="38" t="n">
        <v>3</v>
      </c>
      <c r="E143" s="38" t="inlineStr">
        <is>
          <t>15sec/side</t>
        </is>
      </c>
      <c r="F143" s="38" t="inlineStr"/>
      <c r="G143" s="29" t="inlineStr"/>
      <c r="H143" s="40" t="inlineStr"/>
      <c r="I143" s="36" t="inlineStr"/>
      <c r="J143" s="12" t="inlineStr"/>
      <c r="K143" s="8" t="inlineStr"/>
      <c r="L143" s="12" t="inlineStr"/>
    </row>
    <row r="144"/>
    <row r="145" ht="22" customHeight="1">
      <c r="A145" s="51" t="inlineStr">
        <is>
          <t>Day 2 : Tuesday — Bench</t>
        </is>
      </c>
    </row>
    <row r="146" ht="26" customHeight="1">
      <c r="A146" s="52" t="inlineStr">
        <is>
          <t>💡 Coaching Rationale: Same structure — 4x2 @ 88% with an optional single @ 90%, gated by the same bar-speed rule.</t>
        </is>
      </c>
    </row>
    <row r="147" ht="22" customHeight="1">
      <c r="A147" s="53" t="inlineStr">
        <is>
          <t>#</t>
        </is>
      </c>
      <c r="B147" s="53" t="inlineStr">
        <is>
          <t>Exercise</t>
        </is>
      </c>
      <c r="C147" s="53" t="inlineStr">
        <is>
          <t>Type</t>
        </is>
      </c>
      <c r="D147" s="53" t="inlineStr">
        <is>
          <t>Sets</t>
        </is>
      </c>
      <c r="E147" s="53" t="inlineStr">
        <is>
          <t>Reps</t>
        </is>
      </c>
      <c r="F147" s="53" t="inlineStr">
        <is>
          <t>% TM</t>
        </is>
      </c>
      <c r="G147" s="53" t="inlineStr">
        <is>
          <t>Prescribed Weight</t>
        </is>
      </c>
      <c r="H147" s="53" t="inlineStr">
        <is>
          <t>Target RPE</t>
        </is>
      </c>
      <c r="I147" s="53" t="inlineStr">
        <is>
          <t>Prescription Notes</t>
        </is>
      </c>
      <c r="J147" s="53" t="inlineStr">
        <is>
          <t>Actual Weight</t>
        </is>
      </c>
      <c r="K147" s="53" t="inlineStr">
        <is>
          <t>Actual Reps</t>
        </is>
      </c>
      <c r="L147" s="53" t="inlineStr">
        <is>
          <t>Done?</t>
        </is>
      </c>
    </row>
    <row r="148" ht="20" customHeight="1">
      <c r="A148" s="31" t="n">
        <v>1</v>
      </c>
      <c r="B148" s="32" t="inlineStr">
        <is>
          <t>Bench</t>
        </is>
      </c>
      <c r="C148" s="54" t="inlineStr">
        <is>
          <t>MAIN</t>
        </is>
      </c>
      <c r="D148" s="27" t="n">
        <v>4</v>
      </c>
      <c r="E148" s="27" t="inlineStr">
        <is>
          <t>2</t>
        </is>
      </c>
      <c r="F148" s="34" t="n">
        <v>0.88</v>
      </c>
      <c r="G148" s="35">
        <f>ROUND('Setup &amp; Dashboard'!$E$8*0.88/5, 0)*5</f>
        <v/>
      </c>
      <c r="H148" s="27" t="inlineStr">
        <is>
          <t>RPE 8-9</t>
        </is>
      </c>
      <c r="I148" s="42" t="inlineStr">
        <is>
          <t>Optional top single @ 90% TM under the same speed condition</t>
        </is>
      </c>
      <c r="J148" s="12" t="inlineStr"/>
      <c r="K148" s="8" t="inlineStr"/>
      <c r="L148" s="12" t="inlineStr"/>
    </row>
    <row r="149" ht="20" customHeight="1">
      <c r="A149" s="40" t="n">
        <v>2</v>
      </c>
      <c r="B149" s="30" t="inlineStr">
        <is>
          <t>Close-grip bench</t>
        </is>
      </c>
      <c r="C149" s="55" t="inlineStr">
        <is>
          <t>Acc</t>
        </is>
      </c>
      <c r="D149" s="38" t="n">
        <v>2</v>
      </c>
      <c r="E149" s="38" t="inlineStr">
        <is>
          <t>4</t>
        </is>
      </c>
      <c r="F149" s="38" t="inlineStr"/>
      <c r="G149" s="29" t="inlineStr"/>
      <c r="H149" s="40" t="inlineStr"/>
      <c r="I149" s="36" t="inlineStr"/>
      <c r="J149" s="12" t="inlineStr"/>
      <c r="K149" s="8" t="inlineStr"/>
      <c r="L149" s="12" t="inlineStr"/>
    </row>
    <row r="150" ht="20" customHeight="1">
      <c r="A150" s="31" t="n">
        <v>3</v>
      </c>
      <c r="B150" s="30" t="inlineStr">
        <is>
          <t>Incline DB press</t>
        </is>
      </c>
      <c r="C150" s="55" t="inlineStr">
        <is>
          <t>Acc</t>
        </is>
      </c>
      <c r="D150" s="29" t="n">
        <v>2</v>
      </c>
      <c r="E150" s="29" t="inlineStr">
        <is>
          <t>8</t>
        </is>
      </c>
      <c r="F150" s="29" t="inlineStr"/>
      <c r="G150" s="29" t="inlineStr"/>
      <c r="H150" s="31" t="inlineStr"/>
      <c r="I150" s="36" t="inlineStr"/>
      <c r="J150" s="12" t="inlineStr"/>
      <c r="K150" s="8" t="inlineStr"/>
      <c r="L150" s="12" t="inlineStr"/>
    </row>
    <row r="151" ht="20" customHeight="1">
      <c r="A151" s="40" t="n">
        <v>4</v>
      </c>
      <c r="B151" s="30" t="inlineStr">
        <is>
          <t>Triceps pressdown</t>
        </is>
      </c>
      <c r="C151" s="55" t="inlineStr">
        <is>
          <t>Acc</t>
        </is>
      </c>
      <c r="D151" s="38" t="n">
        <v>2</v>
      </c>
      <c r="E151" s="38" t="inlineStr">
        <is>
          <t>12</t>
        </is>
      </c>
      <c r="F151" s="38" t="inlineStr"/>
      <c r="G151" s="29" t="inlineStr"/>
      <c r="H151" s="40" t="inlineStr"/>
      <c r="I151" s="36" t="inlineStr"/>
      <c r="J151" s="12" t="inlineStr"/>
      <c r="K151" s="8" t="inlineStr"/>
      <c r="L151" s="12" t="inlineStr"/>
    </row>
    <row r="152" ht="20" customHeight="1">
      <c r="A152" s="31" t="n">
        <v>5</v>
      </c>
      <c r="B152" s="30" t="inlineStr">
        <is>
          <t>Face pull</t>
        </is>
      </c>
      <c r="C152" s="55" t="inlineStr">
        <is>
          <t>Acc</t>
        </is>
      </c>
      <c r="D152" s="29" t="n">
        <v>2</v>
      </c>
      <c r="E152" s="29" t="inlineStr">
        <is>
          <t>15</t>
        </is>
      </c>
      <c r="F152" s="29" t="inlineStr"/>
      <c r="G152" s="29" t="inlineStr"/>
      <c r="H152" s="31" t="inlineStr"/>
      <c r="I152" s="36" t="inlineStr"/>
      <c r="J152" s="12" t="inlineStr"/>
      <c r="K152" s="8" t="inlineStr"/>
      <c r="L152" s="12" t="inlineStr"/>
    </row>
    <row r="153"/>
    <row r="154" ht="22" customHeight="1">
      <c r="A154" s="51" t="inlineStr">
        <is>
          <t>Day 3 : Thursday — Deadlift</t>
        </is>
      </c>
    </row>
    <row r="155" ht="32" customHeight="1">
      <c r="A155" s="52" t="inlineStr">
        <is>
          <t>💡 Coaching Rationale: 2x2 @ 88% with an optional single @ 90% — deadlift's set count is intentionally lowest of the four lifts this week, since it recovers slowest and the taper is only two weeks away.</t>
        </is>
      </c>
    </row>
    <row r="156" ht="22" customHeight="1">
      <c r="A156" s="53" t="inlineStr">
        <is>
          <t>#</t>
        </is>
      </c>
      <c r="B156" s="53" t="inlineStr">
        <is>
          <t>Exercise</t>
        </is>
      </c>
      <c r="C156" s="53" t="inlineStr">
        <is>
          <t>Type</t>
        </is>
      </c>
      <c r="D156" s="53" t="inlineStr">
        <is>
          <t>Sets</t>
        </is>
      </c>
      <c r="E156" s="53" t="inlineStr">
        <is>
          <t>Reps</t>
        </is>
      </c>
      <c r="F156" s="53" t="inlineStr">
        <is>
          <t>% TM</t>
        </is>
      </c>
      <c r="G156" s="53" t="inlineStr">
        <is>
          <t>Prescribed Weight</t>
        </is>
      </c>
      <c r="H156" s="53" t="inlineStr">
        <is>
          <t>Target RPE</t>
        </is>
      </c>
      <c r="I156" s="53" t="inlineStr">
        <is>
          <t>Prescription Notes</t>
        </is>
      </c>
      <c r="J156" s="53" t="inlineStr">
        <is>
          <t>Actual Weight</t>
        </is>
      </c>
      <c r="K156" s="53" t="inlineStr">
        <is>
          <t>Actual Reps</t>
        </is>
      </c>
      <c r="L156" s="53" t="inlineStr">
        <is>
          <t>Done?</t>
        </is>
      </c>
    </row>
    <row r="157" ht="20" customHeight="1">
      <c r="A157" s="31" t="n">
        <v>1</v>
      </c>
      <c r="B157" s="32" t="inlineStr">
        <is>
          <t>Deadlift</t>
        </is>
      </c>
      <c r="C157" s="54" t="inlineStr">
        <is>
          <t>MAIN</t>
        </is>
      </c>
      <c r="D157" s="27" t="n">
        <v>2</v>
      </c>
      <c r="E157" s="27" t="inlineStr">
        <is>
          <t>2</t>
        </is>
      </c>
      <c r="F157" s="34" t="n">
        <v>0.88</v>
      </c>
      <c r="G157" s="35">
        <f>ROUND('Setup &amp; Dashboard'!$E$9*0.88/5, 0)*5</f>
        <v/>
      </c>
      <c r="H157" s="27" t="inlineStr">
        <is>
          <t>RPE 8-9</t>
        </is>
      </c>
      <c r="I157" s="42" t="inlineStr">
        <is>
          <t>Optional top single @ 90% TM</t>
        </is>
      </c>
      <c r="J157" s="12" t="inlineStr"/>
      <c r="K157" s="8" t="inlineStr"/>
      <c r="L157" s="12" t="inlineStr"/>
    </row>
    <row r="158" ht="20" customHeight="1">
      <c r="A158" s="31" t="n">
        <v>2</v>
      </c>
      <c r="B158" s="30" t="inlineStr">
        <is>
          <t>Reverse hyper</t>
        </is>
      </c>
      <c r="C158" s="55" t="inlineStr">
        <is>
          <t>Acc</t>
        </is>
      </c>
      <c r="D158" s="29" t="n">
        <v>1</v>
      </c>
      <c r="E158" s="29" t="inlineStr">
        <is>
          <t>10</t>
        </is>
      </c>
      <c r="F158" s="29" t="inlineStr"/>
      <c r="G158" s="29" t="inlineStr"/>
      <c r="H158" s="31" t="inlineStr"/>
      <c r="I158" s="36" t="inlineStr"/>
      <c r="J158" s="12" t="inlineStr"/>
      <c r="K158" s="8" t="inlineStr"/>
      <c r="L158" s="12" t="inlineStr"/>
    </row>
    <row r="159" ht="20" customHeight="1">
      <c r="A159" s="40" t="n">
        <v>3</v>
      </c>
      <c r="B159" s="30" t="inlineStr">
        <is>
          <t>Jefferson curl</t>
        </is>
      </c>
      <c r="C159" s="55" t="inlineStr">
        <is>
          <t>Acc</t>
        </is>
      </c>
      <c r="D159" s="38" t="n">
        <v>1</v>
      </c>
      <c r="E159" s="38" t="inlineStr">
        <is>
          <t>6</t>
        </is>
      </c>
      <c r="F159" s="38" t="inlineStr"/>
      <c r="G159" s="29" t="inlineStr"/>
      <c r="H159" s="40" t="inlineStr"/>
      <c r="I159" s="36" t="inlineStr"/>
      <c r="J159" s="12" t="inlineStr"/>
      <c r="K159" s="8" t="inlineStr"/>
      <c r="L159" s="12" t="inlineStr"/>
    </row>
    <row r="160"/>
    <row r="161" ht="22" customHeight="1">
      <c r="A161" s="51" t="inlineStr">
        <is>
          <t>Day 4 : Friday — Bench variant / upper body</t>
        </is>
      </c>
    </row>
    <row r="162" ht="32" customHeight="1">
      <c r="A162" s="52" t="inlineStr">
        <is>
          <t>💡 Coaching Rationale: 'Competition-style' means pause, grip, and setup exactly as you'll use on a platform — this is technical rehearsal at a manageable intensity (83%), not a new intensity push.</t>
        </is>
      </c>
    </row>
    <row r="163" ht="22" customHeight="1">
      <c r="A163" s="53" t="inlineStr">
        <is>
          <t>#</t>
        </is>
      </c>
      <c r="B163" s="53" t="inlineStr">
        <is>
          <t>Exercise</t>
        </is>
      </c>
      <c r="C163" s="53" t="inlineStr">
        <is>
          <t>Type</t>
        </is>
      </c>
      <c r="D163" s="53" t="inlineStr">
        <is>
          <t>Sets</t>
        </is>
      </c>
      <c r="E163" s="53" t="inlineStr">
        <is>
          <t>Reps</t>
        </is>
      </c>
      <c r="F163" s="53" t="inlineStr">
        <is>
          <t>% TM</t>
        </is>
      </c>
      <c r="G163" s="53" t="inlineStr">
        <is>
          <t>Prescribed Weight</t>
        </is>
      </c>
      <c r="H163" s="53" t="inlineStr">
        <is>
          <t>Target RPE</t>
        </is>
      </c>
      <c r="I163" s="53" t="inlineStr">
        <is>
          <t>Prescription Notes</t>
        </is>
      </c>
      <c r="J163" s="53" t="inlineStr">
        <is>
          <t>Actual Weight</t>
        </is>
      </c>
      <c r="K163" s="53" t="inlineStr">
        <is>
          <t>Actual Reps</t>
        </is>
      </c>
      <c r="L163" s="53" t="inlineStr">
        <is>
          <t>Done?</t>
        </is>
      </c>
    </row>
    <row r="164" ht="20" customHeight="1">
      <c r="A164" s="31" t="n">
        <v>1</v>
      </c>
      <c r="B164" s="32" t="inlineStr">
        <is>
          <t>Competition-style bench</t>
        </is>
      </c>
      <c r="C164" s="54" t="inlineStr">
        <is>
          <t>MAIN</t>
        </is>
      </c>
      <c r="D164" s="27" t="n">
        <v>3</v>
      </c>
      <c r="E164" s="27" t="inlineStr">
        <is>
          <t>2</t>
        </is>
      </c>
      <c r="F164" s="34" t="n">
        <v>0.83</v>
      </c>
      <c r="G164" s="35">
        <f>ROUND('Setup &amp; Dashboard'!$E$8*0.83/5, 0)*5</f>
        <v/>
      </c>
      <c r="H164" s="27" t="inlineStr">
        <is>
          <t>RPE 7-8</t>
        </is>
      </c>
      <c r="I164" s="36" t="inlineStr"/>
      <c r="J164" s="12" t="inlineStr"/>
      <c r="K164" s="8" t="inlineStr"/>
      <c r="L164" s="12" t="inlineStr"/>
    </row>
    <row r="165" ht="20" customHeight="1">
      <c r="A165" s="40" t="n">
        <v>2</v>
      </c>
      <c r="B165" s="30" t="inlineStr">
        <is>
          <t>Chest-supported row</t>
        </is>
      </c>
      <c r="C165" s="55" t="inlineStr">
        <is>
          <t>Acc</t>
        </is>
      </c>
      <c r="D165" s="38" t="n">
        <v>3</v>
      </c>
      <c r="E165" s="38" t="inlineStr">
        <is>
          <t>8</t>
        </is>
      </c>
      <c r="F165" s="38" t="inlineStr"/>
      <c r="G165" s="29" t="inlineStr"/>
      <c r="H165" s="40" t="inlineStr"/>
      <c r="I165" s="36" t="inlineStr"/>
      <c r="J165" s="12" t="inlineStr"/>
      <c r="K165" s="8" t="inlineStr"/>
      <c r="L165" s="12" t="inlineStr"/>
    </row>
    <row r="166" ht="20" customHeight="1">
      <c r="A166" s="31" t="n">
        <v>3</v>
      </c>
      <c r="B166" s="30" t="inlineStr">
        <is>
          <t>Lat pulldown</t>
        </is>
      </c>
      <c r="C166" s="55" t="inlineStr">
        <is>
          <t>Acc</t>
        </is>
      </c>
      <c r="D166" s="29" t="n">
        <v>2</v>
      </c>
      <c r="E166" s="29" t="inlineStr">
        <is>
          <t>10</t>
        </is>
      </c>
      <c r="F166" s="29" t="inlineStr"/>
      <c r="G166" s="29" t="inlineStr"/>
      <c r="H166" s="31" t="inlineStr"/>
      <c r="I166" s="36" t="inlineStr"/>
      <c r="J166" s="12" t="inlineStr"/>
      <c r="K166" s="8" t="inlineStr"/>
      <c r="L166" s="12" t="inlineStr"/>
    </row>
    <row r="167" ht="20" customHeight="1">
      <c r="A167" s="40" t="n">
        <v>4</v>
      </c>
      <c r="B167" s="30" t="inlineStr">
        <is>
          <t>Lateral raise</t>
        </is>
      </c>
      <c r="C167" s="55" t="inlineStr">
        <is>
          <t>Acc</t>
        </is>
      </c>
      <c r="D167" s="38" t="n">
        <v>2</v>
      </c>
      <c r="E167" s="38" t="inlineStr">
        <is>
          <t>15</t>
        </is>
      </c>
      <c r="F167" s="38" t="inlineStr"/>
      <c r="G167" s="29" t="inlineStr"/>
      <c r="H167" s="40" t="inlineStr"/>
      <c r="I167" s="36" t="inlineStr"/>
      <c r="J167" s="12" t="inlineStr"/>
      <c r="K167" s="8" t="inlineStr"/>
      <c r="L167" s="12" t="inlineStr"/>
    </row>
    <row r="168" ht="20" customHeight="1">
      <c r="A168" s="31" t="n">
        <v>5</v>
      </c>
      <c r="B168" s="30" t="inlineStr">
        <is>
          <t>Curl</t>
        </is>
      </c>
      <c r="C168" s="55" t="inlineStr">
        <is>
          <t>Acc</t>
        </is>
      </c>
      <c r="D168" s="29" t="n">
        <v>2</v>
      </c>
      <c r="E168" s="29" t="inlineStr">
        <is>
          <t>10</t>
        </is>
      </c>
      <c r="F168" s="29" t="inlineStr"/>
      <c r="G168" s="29" t="inlineStr"/>
      <c r="H168" s="31" t="inlineStr"/>
      <c r="I168" s="36" t="inlineStr"/>
      <c r="J168" s="12" t="inlineStr"/>
      <c r="K168" s="8" t="inlineStr"/>
      <c r="L168" s="12" t="inlineStr"/>
    </row>
    <row r="169" ht="20" customHeight="1">
      <c r="A169" s="40" t="n">
        <v>6</v>
      </c>
      <c r="B169" s="30" t="inlineStr">
        <is>
          <t>Pallof press</t>
        </is>
      </c>
      <c r="C169" s="55" t="inlineStr">
        <is>
          <t>Acc</t>
        </is>
      </c>
      <c r="D169" s="38" t="n">
        <v>2</v>
      </c>
      <c r="E169" s="38" t="inlineStr">
        <is>
          <t>10/side</t>
        </is>
      </c>
      <c r="F169" s="38" t="inlineStr"/>
      <c r="G169" s="29" t="inlineStr"/>
      <c r="H169" s="40" t="inlineStr"/>
      <c r="I169" s="36" t="inlineStr"/>
      <c r="J169" s="12" t="inlineStr"/>
      <c r="K169" s="8" t="inlineStr"/>
      <c r="L169" s="12" t="inlineStr"/>
    </row>
    <row r="170"/>
    <row r="171" ht="22" customHeight="1">
      <c r="A171" s="51" t="inlineStr">
        <is>
          <t>Day 5 : Saturday — Squat variant + Rack Pull</t>
        </is>
      </c>
    </row>
    <row r="172" ht="32" customHeight="1">
      <c r="A172" s="52" t="inlineStr">
        <is>
          <t>💡 Coaching Rationale: Rack pull follows the same optional-single structure as the main three lifts — 2x2 @ 86% with an optional single @ 88%, same bar-speed gate.</t>
        </is>
      </c>
    </row>
    <row r="173" ht="22" customHeight="1">
      <c r="A173" s="53" t="inlineStr">
        <is>
          <t>#</t>
        </is>
      </c>
      <c r="B173" s="53" t="inlineStr">
        <is>
          <t>Exercise</t>
        </is>
      </c>
      <c r="C173" s="53" t="inlineStr">
        <is>
          <t>Type</t>
        </is>
      </c>
      <c r="D173" s="53" t="inlineStr">
        <is>
          <t>Sets</t>
        </is>
      </c>
      <c r="E173" s="53" t="inlineStr">
        <is>
          <t>Reps</t>
        </is>
      </c>
      <c r="F173" s="53" t="inlineStr">
        <is>
          <t>% TM</t>
        </is>
      </c>
      <c r="G173" s="53" t="inlineStr">
        <is>
          <t>Prescribed Weight</t>
        </is>
      </c>
      <c r="H173" s="53" t="inlineStr">
        <is>
          <t>Target RPE</t>
        </is>
      </c>
      <c r="I173" s="53" t="inlineStr">
        <is>
          <t>Prescription Notes</t>
        </is>
      </c>
      <c r="J173" s="53" t="inlineStr">
        <is>
          <t>Actual Weight</t>
        </is>
      </c>
      <c r="K173" s="53" t="inlineStr">
        <is>
          <t>Actual Reps</t>
        </is>
      </c>
      <c r="L173" s="53" t="inlineStr">
        <is>
          <t>Done?</t>
        </is>
      </c>
    </row>
    <row r="174" ht="20" customHeight="1">
      <c r="A174" s="31" t="n">
        <v>1</v>
      </c>
      <c r="B174" s="32" t="inlineStr">
        <is>
          <t>Paused squat</t>
        </is>
      </c>
      <c r="C174" s="54" t="inlineStr">
        <is>
          <t>MAIN</t>
        </is>
      </c>
      <c r="D174" s="27" t="n">
        <v>2</v>
      </c>
      <c r="E174" s="27" t="inlineStr">
        <is>
          <t>2</t>
        </is>
      </c>
      <c r="F174" s="34" t="n">
        <v>0.78</v>
      </c>
      <c r="G174" s="35">
        <f>ROUND('Setup &amp; Dashboard'!$E$7*0.78/5, 0)*5</f>
        <v/>
      </c>
      <c r="H174" s="27" t="inlineStr">
        <is>
          <t>RPE 7-8</t>
        </is>
      </c>
      <c r="I174" s="36" t="inlineStr"/>
      <c r="J174" s="12" t="inlineStr"/>
      <c r="K174" s="8" t="inlineStr"/>
      <c r="L174" s="12" t="inlineStr"/>
    </row>
    <row r="175" ht="20" customHeight="1">
      <c r="A175" s="31" t="n">
        <v>2</v>
      </c>
      <c r="B175" s="32" t="inlineStr">
        <is>
          <t>Rack pull</t>
        </is>
      </c>
      <c r="C175" s="54" t="inlineStr">
        <is>
          <t>MAIN</t>
        </is>
      </c>
      <c r="D175" s="27" t="n">
        <v>2</v>
      </c>
      <c r="E175" s="27" t="inlineStr">
        <is>
          <t>2</t>
        </is>
      </c>
      <c r="F175" s="34" t="n">
        <v>0.86</v>
      </c>
      <c r="G175" s="35">
        <f>ROUND('Setup &amp; Dashboard'!$E$10*0.86/5, 0)*5</f>
        <v/>
      </c>
      <c r="H175" s="27" t="inlineStr">
        <is>
          <t>RPE 8-9</t>
        </is>
      </c>
      <c r="I175" s="42" t="inlineStr">
        <is>
          <t>Optional top single @ 88% TM</t>
        </is>
      </c>
      <c r="J175" s="12" t="inlineStr"/>
      <c r="K175" s="8" t="inlineStr"/>
      <c r="L175" s="12" t="inlineStr"/>
    </row>
    <row r="176" ht="20" customHeight="1">
      <c r="A176" s="31" t="n">
        <v>3</v>
      </c>
      <c r="B176" s="30" t="inlineStr">
        <is>
          <t>Reverse hyper</t>
        </is>
      </c>
      <c r="C176" s="55" t="inlineStr">
        <is>
          <t>Acc</t>
        </is>
      </c>
      <c r="D176" s="29" t="n">
        <v>1</v>
      </c>
      <c r="E176" s="29" t="inlineStr">
        <is>
          <t>10</t>
        </is>
      </c>
      <c r="F176" s="29" t="inlineStr"/>
      <c r="G176" s="29" t="inlineStr"/>
      <c r="H176" s="31" t="inlineStr"/>
      <c r="I176" s="36" t="inlineStr"/>
      <c r="J176" s="12" t="inlineStr"/>
      <c r="K176" s="8" t="inlineStr"/>
      <c r="L176" s="12" t="inlineStr"/>
    </row>
    <row r="177" ht="20" customHeight="1">
      <c r="A177" s="40" t="n">
        <v>4</v>
      </c>
      <c r="B177" s="30" t="inlineStr">
        <is>
          <t>GHR or Nordic curl</t>
        </is>
      </c>
      <c r="C177" s="55" t="inlineStr">
        <is>
          <t>Acc</t>
        </is>
      </c>
      <c r="D177" s="38" t="n">
        <v>2</v>
      </c>
      <c r="E177" s="38" t="inlineStr">
        <is>
          <t>8</t>
        </is>
      </c>
      <c r="F177" s="38" t="inlineStr"/>
      <c r="G177" s="29" t="inlineStr"/>
      <c r="H177" s="40" t="inlineStr"/>
      <c r="I177" s="36" t="inlineStr"/>
      <c r="J177" s="12" t="inlineStr"/>
      <c r="K177" s="8" t="inlineStr"/>
      <c r="L177" s="12" t="inlineStr"/>
    </row>
    <row r="178"/>
    <row r="179"/>
    <row r="180" ht="26" customHeight="1">
      <c r="A180" s="57" t="inlineStr">
        <is>
          <t>WEEK 10 — DELOAD</t>
        </is>
      </c>
    </row>
    <row r="181" ht="22" customHeight="1">
      <c r="A181" s="51" t="inlineStr">
        <is>
          <t>Day 1 : Monday — Squat</t>
        </is>
      </c>
    </row>
    <row r="182" ht="48" customHeight="1">
      <c r="A182" s="52" t="inlineStr">
        <is>
          <t>💡 Coaching Rationale: Back down to 65% TM, RPE 6 — this deload exists specifically to absorb whatever near-max singles you did take in Week 9. Even if you skipped every optional single, the four weeks of climbing intensity before it still need this reset.</t>
        </is>
      </c>
    </row>
    <row r="183" ht="22" customHeight="1">
      <c r="A183" s="53" t="inlineStr">
        <is>
          <t>#</t>
        </is>
      </c>
      <c r="B183" s="53" t="inlineStr">
        <is>
          <t>Exercise</t>
        </is>
      </c>
      <c r="C183" s="53" t="inlineStr">
        <is>
          <t>Type</t>
        </is>
      </c>
      <c r="D183" s="53" t="inlineStr">
        <is>
          <t>Sets</t>
        </is>
      </c>
      <c r="E183" s="53" t="inlineStr">
        <is>
          <t>Reps</t>
        </is>
      </c>
      <c r="F183" s="53" t="inlineStr">
        <is>
          <t>% TM</t>
        </is>
      </c>
      <c r="G183" s="53" t="inlineStr">
        <is>
          <t>Prescribed Weight</t>
        </is>
      </c>
      <c r="H183" s="53" t="inlineStr">
        <is>
          <t>Target RPE</t>
        </is>
      </c>
      <c r="I183" s="53" t="inlineStr">
        <is>
          <t>Prescription Notes</t>
        </is>
      </c>
      <c r="J183" s="53" t="inlineStr">
        <is>
          <t>Actual Weight</t>
        </is>
      </c>
      <c r="K183" s="53" t="inlineStr">
        <is>
          <t>Actual Reps</t>
        </is>
      </c>
      <c r="L183" s="53" t="inlineStr">
        <is>
          <t>Done?</t>
        </is>
      </c>
    </row>
    <row r="184" ht="20" customHeight="1">
      <c r="A184" s="31" t="n">
        <v>1</v>
      </c>
      <c r="B184" s="32" t="inlineStr">
        <is>
          <t>Squat</t>
        </is>
      </c>
      <c r="C184" s="54" t="inlineStr">
        <is>
          <t>MAIN</t>
        </is>
      </c>
      <c r="D184" s="27" t="n">
        <v>3</v>
      </c>
      <c r="E184" s="27" t="inlineStr">
        <is>
          <t>2</t>
        </is>
      </c>
      <c r="F184" s="34" t="n">
        <v>0.65</v>
      </c>
      <c r="G184" s="35">
        <f>ROUND('Setup &amp; Dashboard'!$E$7*0.65/5, 0)*5</f>
        <v/>
      </c>
      <c r="H184" s="27" t="inlineStr">
        <is>
          <t>RPE 6</t>
        </is>
      </c>
      <c r="I184" s="36" t="inlineStr"/>
      <c r="J184" s="12" t="inlineStr"/>
      <c r="K184" s="8" t="inlineStr"/>
      <c r="L184" s="12" t="inlineStr"/>
    </row>
    <row r="185" ht="20" customHeight="1">
      <c r="A185" s="40" t="n">
        <v>2</v>
      </c>
      <c r="B185" s="30" t="inlineStr">
        <is>
          <t>Split squat</t>
        </is>
      </c>
      <c r="C185" s="55" t="inlineStr">
        <is>
          <t>Acc</t>
        </is>
      </c>
      <c r="D185" s="38" t="n">
        <v>2</v>
      </c>
      <c r="E185" s="38" t="inlineStr">
        <is>
          <t>6-8/leg</t>
        </is>
      </c>
      <c r="F185" s="38" t="inlineStr"/>
      <c r="G185" s="29" t="inlineStr"/>
      <c r="H185" s="40" t="inlineStr"/>
      <c r="I185" s="36" t="inlineStr"/>
      <c r="J185" s="12" t="inlineStr"/>
      <c r="K185" s="8" t="inlineStr"/>
      <c r="L185" s="12" t="inlineStr"/>
    </row>
    <row r="186" ht="20" customHeight="1">
      <c r="A186" s="31" t="n">
        <v>3</v>
      </c>
      <c r="B186" s="30" t="inlineStr">
        <is>
          <t>Leg curl</t>
        </is>
      </c>
      <c r="C186" s="55" t="inlineStr">
        <is>
          <t>Acc</t>
        </is>
      </c>
      <c r="D186" s="29" t="n">
        <v>2</v>
      </c>
      <c r="E186" s="29" t="inlineStr">
        <is>
          <t>8</t>
        </is>
      </c>
      <c r="F186" s="29" t="inlineStr"/>
      <c r="G186" s="29" t="inlineStr"/>
      <c r="H186" s="31" t="inlineStr"/>
      <c r="I186" s="36" t="inlineStr"/>
      <c r="J186" s="12" t="inlineStr"/>
      <c r="K186" s="8" t="inlineStr"/>
      <c r="L186" s="12" t="inlineStr"/>
    </row>
    <row r="187" ht="20" customHeight="1">
      <c r="A187" s="40" t="n">
        <v>4</v>
      </c>
      <c r="B187" s="30" t="inlineStr">
        <is>
          <t>Copenhagen plank</t>
        </is>
      </c>
      <c r="C187" s="55" t="inlineStr">
        <is>
          <t>Acc</t>
        </is>
      </c>
      <c r="D187" s="38" t="n">
        <v>2</v>
      </c>
      <c r="E187" s="38" t="inlineStr">
        <is>
          <t>15sec/side</t>
        </is>
      </c>
      <c r="F187" s="38" t="inlineStr"/>
      <c r="G187" s="29" t="inlineStr"/>
      <c r="H187" s="40" t="inlineStr"/>
      <c r="I187" s="36" t="inlineStr"/>
      <c r="J187" s="12" t="inlineStr"/>
      <c r="K187" s="8" t="inlineStr"/>
      <c r="L187" s="12" t="inlineStr"/>
    </row>
    <row r="188"/>
    <row r="189" ht="22" customHeight="1">
      <c r="A189" s="51" t="inlineStr">
        <is>
          <t>Day 2 : Tuesday — Bench</t>
        </is>
      </c>
    </row>
    <row r="190" ht="26" customHeight="1">
      <c r="A190" s="52" t="inlineStr">
        <is>
          <t>💡 Coaching Rationale: Same intensity drop, same purpose.</t>
        </is>
      </c>
    </row>
    <row r="191" ht="22" customHeight="1">
      <c r="A191" s="53" t="inlineStr">
        <is>
          <t>#</t>
        </is>
      </c>
      <c r="B191" s="53" t="inlineStr">
        <is>
          <t>Exercise</t>
        </is>
      </c>
      <c r="C191" s="53" t="inlineStr">
        <is>
          <t>Type</t>
        </is>
      </c>
      <c r="D191" s="53" t="inlineStr">
        <is>
          <t>Sets</t>
        </is>
      </c>
      <c r="E191" s="53" t="inlineStr">
        <is>
          <t>Reps</t>
        </is>
      </c>
      <c r="F191" s="53" t="inlineStr">
        <is>
          <t>% TM</t>
        </is>
      </c>
      <c r="G191" s="53" t="inlineStr">
        <is>
          <t>Prescribed Weight</t>
        </is>
      </c>
      <c r="H191" s="53" t="inlineStr">
        <is>
          <t>Target RPE</t>
        </is>
      </c>
      <c r="I191" s="53" t="inlineStr">
        <is>
          <t>Prescription Notes</t>
        </is>
      </c>
      <c r="J191" s="53" t="inlineStr">
        <is>
          <t>Actual Weight</t>
        </is>
      </c>
      <c r="K191" s="53" t="inlineStr">
        <is>
          <t>Actual Reps</t>
        </is>
      </c>
      <c r="L191" s="53" t="inlineStr">
        <is>
          <t>Done?</t>
        </is>
      </c>
    </row>
    <row r="192" ht="20" customHeight="1">
      <c r="A192" s="31" t="n">
        <v>1</v>
      </c>
      <c r="B192" s="32" t="inlineStr">
        <is>
          <t>Bench</t>
        </is>
      </c>
      <c r="C192" s="54" t="inlineStr">
        <is>
          <t>MAIN</t>
        </is>
      </c>
      <c r="D192" s="27" t="n">
        <v>3</v>
      </c>
      <c r="E192" s="27" t="inlineStr">
        <is>
          <t>2</t>
        </is>
      </c>
      <c r="F192" s="34" t="n">
        <v>0.65</v>
      </c>
      <c r="G192" s="35">
        <f>ROUND('Setup &amp; Dashboard'!$E$8*0.65/5, 0)*5</f>
        <v/>
      </c>
      <c r="H192" s="27" t="inlineStr">
        <is>
          <t>RPE 6</t>
        </is>
      </c>
      <c r="I192" s="36" t="inlineStr"/>
      <c r="J192" s="12" t="inlineStr"/>
      <c r="K192" s="8" t="inlineStr"/>
      <c r="L192" s="12" t="inlineStr"/>
    </row>
    <row r="193" ht="20" customHeight="1">
      <c r="A193" s="40" t="n">
        <v>2</v>
      </c>
      <c r="B193" s="30" t="inlineStr">
        <is>
          <t>Close-grip bench</t>
        </is>
      </c>
      <c r="C193" s="55" t="inlineStr">
        <is>
          <t>Acc</t>
        </is>
      </c>
      <c r="D193" s="38" t="n">
        <v>2</v>
      </c>
      <c r="E193" s="38" t="inlineStr">
        <is>
          <t>5</t>
        </is>
      </c>
      <c r="F193" s="38" t="inlineStr"/>
      <c r="G193" s="29" t="inlineStr"/>
      <c r="H193" s="40" t="inlineStr"/>
      <c r="I193" s="36" t="inlineStr"/>
      <c r="J193" s="12" t="inlineStr"/>
      <c r="K193" s="8" t="inlineStr"/>
      <c r="L193" s="12" t="inlineStr"/>
    </row>
    <row r="194" ht="20" customHeight="1">
      <c r="A194" s="31" t="n">
        <v>3</v>
      </c>
      <c r="B194" s="30" t="inlineStr">
        <is>
          <t>Incline DB press</t>
        </is>
      </c>
      <c r="C194" s="55" t="inlineStr">
        <is>
          <t>Acc</t>
        </is>
      </c>
      <c r="D194" s="29" t="n">
        <v>2</v>
      </c>
      <c r="E194" s="29" t="inlineStr">
        <is>
          <t>8</t>
        </is>
      </c>
      <c r="F194" s="29" t="inlineStr"/>
      <c r="G194" s="29" t="inlineStr"/>
      <c r="H194" s="31" t="inlineStr"/>
      <c r="I194" s="36" t="inlineStr"/>
      <c r="J194" s="12" t="inlineStr"/>
      <c r="K194" s="8" t="inlineStr"/>
      <c r="L194" s="12" t="inlineStr"/>
    </row>
    <row r="195" ht="20" customHeight="1">
      <c r="A195" s="40" t="n">
        <v>4</v>
      </c>
      <c r="B195" s="30" t="inlineStr">
        <is>
          <t>Face pull</t>
        </is>
      </c>
      <c r="C195" s="55" t="inlineStr">
        <is>
          <t>Acc</t>
        </is>
      </c>
      <c r="D195" s="38" t="n">
        <v>2</v>
      </c>
      <c r="E195" s="38" t="inlineStr">
        <is>
          <t>15</t>
        </is>
      </c>
      <c r="F195" s="38" t="inlineStr"/>
      <c r="G195" s="29" t="inlineStr"/>
      <c r="H195" s="40" t="inlineStr"/>
      <c r="I195" s="36" t="inlineStr"/>
      <c r="J195" s="12" t="inlineStr"/>
      <c r="K195" s="8" t="inlineStr"/>
      <c r="L195" s="12" t="inlineStr"/>
    </row>
    <row r="196" ht="20" customHeight="1">
      <c r="A196" s="31" t="n">
        <v>5</v>
      </c>
      <c r="B196" s="30" t="inlineStr">
        <is>
          <t>Pallof press</t>
        </is>
      </c>
      <c r="C196" s="55" t="inlineStr">
        <is>
          <t>Acc</t>
        </is>
      </c>
      <c r="D196" s="29" t="n">
        <v>2</v>
      </c>
      <c r="E196" s="29" t="inlineStr">
        <is>
          <t>8/side</t>
        </is>
      </c>
      <c r="F196" s="29" t="inlineStr"/>
      <c r="G196" s="29" t="inlineStr"/>
      <c r="H196" s="31" t="inlineStr"/>
      <c r="I196" s="36" t="inlineStr"/>
      <c r="J196" s="12" t="inlineStr"/>
      <c r="K196" s="8" t="inlineStr"/>
      <c r="L196" s="12" t="inlineStr"/>
    </row>
    <row r="197"/>
    <row r="198" ht="22" customHeight="1">
      <c r="A198" s="51" t="inlineStr">
        <is>
          <t>Day 3 : Thursday — Deadlift</t>
        </is>
      </c>
    </row>
    <row r="199" ht="32" customHeight="1">
      <c r="A199" s="52" t="inlineStr">
        <is>
          <t>💡 Coaching Rationale: 60% TM — deadlift again gets the largest relative drop of the three lifts, consistent with every deload in this program.</t>
        </is>
      </c>
    </row>
    <row r="200" ht="22" customHeight="1">
      <c r="A200" s="53" t="inlineStr">
        <is>
          <t>#</t>
        </is>
      </c>
      <c r="B200" s="53" t="inlineStr">
        <is>
          <t>Exercise</t>
        </is>
      </c>
      <c r="C200" s="53" t="inlineStr">
        <is>
          <t>Type</t>
        </is>
      </c>
      <c r="D200" s="53" t="inlineStr">
        <is>
          <t>Sets</t>
        </is>
      </c>
      <c r="E200" s="53" t="inlineStr">
        <is>
          <t>Reps</t>
        </is>
      </c>
      <c r="F200" s="53" t="inlineStr">
        <is>
          <t>% TM</t>
        </is>
      </c>
      <c r="G200" s="53" t="inlineStr">
        <is>
          <t>Prescribed Weight</t>
        </is>
      </c>
      <c r="H200" s="53" t="inlineStr">
        <is>
          <t>Target RPE</t>
        </is>
      </c>
      <c r="I200" s="53" t="inlineStr">
        <is>
          <t>Prescription Notes</t>
        </is>
      </c>
      <c r="J200" s="53" t="inlineStr">
        <is>
          <t>Actual Weight</t>
        </is>
      </c>
      <c r="K200" s="53" t="inlineStr">
        <is>
          <t>Actual Reps</t>
        </is>
      </c>
      <c r="L200" s="53" t="inlineStr">
        <is>
          <t>Done?</t>
        </is>
      </c>
    </row>
    <row r="201" ht="20" customHeight="1">
      <c r="A201" s="31" t="n">
        <v>1</v>
      </c>
      <c r="B201" s="32" t="inlineStr">
        <is>
          <t>Deadlift</t>
        </is>
      </c>
      <c r="C201" s="54" t="inlineStr">
        <is>
          <t>MAIN</t>
        </is>
      </c>
      <c r="D201" s="27" t="n">
        <v>2</v>
      </c>
      <c r="E201" s="27" t="inlineStr">
        <is>
          <t>2</t>
        </is>
      </c>
      <c r="F201" s="34" t="n">
        <v>0.6</v>
      </c>
      <c r="G201" s="35">
        <f>ROUND('Setup &amp; Dashboard'!$E$9*0.6/5, 0)*5</f>
        <v/>
      </c>
      <c r="H201" s="27" t="inlineStr">
        <is>
          <t>RPE 6</t>
        </is>
      </c>
      <c r="I201" s="36" t="inlineStr"/>
      <c r="J201" s="12" t="inlineStr"/>
      <c r="K201" s="8" t="inlineStr"/>
      <c r="L201" s="12" t="inlineStr"/>
    </row>
    <row r="202" ht="20" customHeight="1">
      <c r="A202" s="31" t="n">
        <v>2</v>
      </c>
      <c r="B202" s="30" t="inlineStr">
        <is>
          <t>Reverse hyper</t>
        </is>
      </c>
      <c r="C202" s="55" t="inlineStr">
        <is>
          <t>Acc</t>
        </is>
      </c>
      <c r="D202" s="29" t="n">
        <v>2</v>
      </c>
      <c r="E202" s="29" t="inlineStr">
        <is>
          <t>10</t>
        </is>
      </c>
      <c r="F202" s="29" t="inlineStr"/>
      <c r="G202" s="29" t="inlineStr"/>
      <c r="H202" s="31" t="inlineStr"/>
      <c r="I202" s="36" t="inlineStr"/>
      <c r="J202" s="12" t="inlineStr"/>
      <c r="K202" s="8" t="inlineStr"/>
      <c r="L202" s="12" t="inlineStr"/>
    </row>
    <row r="203" ht="20" customHeight="1">
      <c r="A203" s="40" t="n">
        <v>3</v>
      </c>
      <c r="B203" s="30" t="inlineStr">
        <is>
          <t>Jefferson curl</t>
        </is>
      </c>
      <c r="C203" s="55" t="inlineStr">
        <is>
          <t>Acc</t>
        </is>
      </c>
      <c r="D203" s="38" t="n">
        <v>1</v>
      </c>
      <c r="E203" s="38" t="inlineStr">
        <is>
          <t>6</t>
        </is>
      </c>
      <c r="F203" s="38" t="inlineStr"/>
      <c r="G203" s="29" t="inlineStr"/>
      <c r="H203" s="40" t="inlineStr"/>
      <c r="I203" s="36" t="inlineStr"/>
      <c r="J203" s="12" t="inlineStr"/>
      <c r="K203" s="8" t="inlineStr"/>
      <c r="L203" s="12" t="inlineStr"/>
    </row>
    <row r="204"/>
    <row r="205" ht="22" customHeight="1">
      <c r="A205" s="51" t="inlineStr">
        <is>
          <t>Day 4 : Friday — Bench variant / upper body</t>
        </is>
      </c>
    </row>
    <row r="206" ht="32" customHeight="1">
      <c r="A206" s="52" t="inlineStr">
        <is>
          <t>💡 Coaching Rationale: Accessories are minimal here (2 sets max) — the only goal this session is blood flow and pattern maintenance.</t>
        </is>
      </c>
    </row>
    <row r="207" ht="22" customHeight="1">
      <c r="A207" s="53" t="inlineStr">
        <is>
          <t>#</t>
        </is>
      </c>
      <c r="B207" s="53" t="inlineStr">
        <is>
          <t>Exercise</t>
        </is>
      </c>
      <c r="C207" s="53" t="inlineStr">
        <is>
          <t>Type</t>
        </is>
      </c>
      <c r="D207" s="53" t="inlineStr">
        <is>
          <t>Sets</t>
        </is>
      </c>
      <c r="E207" s="53" t="inlineStr">
        <is>
          <t>Reps</t>
        </is>
      </c>
      <c r="F207" s="53" t="inlineStr">
        <is>
          <t>% TM</t>
        </is>
      </c>
      <c r="G207" s="53" t="inlineStr">
        <is>
          <t>Prescribed Weight</t>
        </is>
      </c>
      <c r="H207" s="53" t="inlineStr">
        <is>
          <t>Target RPE</t>
        </is>
      </c>
      <c r="I207" s="53" t="inlineStr">
        <is>
          <t>Prescription Notes</t>
        </is>
      </c>
      <c r="J207" s="53" t="inlineStr">
        <is>
          <t>Actual Weight</t>
        </is>
      </c>
      <c r="K207" s="53" t="inlineStr">
        <is>
          <t>Actual Reps</t>
        </is>
      </c>
      <c r="L207" s="53" t="inlineStr">
        <is>
          <t>Done?</t>
        </is>
      </c>
    </row>
    <row r="208" ht="20" customHeight="1">
      <c r="A208" s="31" t="n">
        <v>1</v>
      </c>
      <c r="B208" s="32" t="inlineStr">
        <is>
          <t>Light paused bench</t>
        </is>
      </c>
      <c r="C208" s="54" t="inlineStr">
        <is>
          <t>MAIN</t>
        </is>
      </c>
      <c r="D208" s="27" t="n">
        <v>3</v>
      </c>
      <c r="E208" s="27" t="inlineStr">
        <is>
          <t>2</t>
        </is>
      </c>
      <c r="F208" s="34" t="n">
        <v>0.6</v>
      </c>
      <c r="G208" s="35">
        <f>ROUND('Setup &amp; Dashboard'!$E$8*0.6/5, 0)*5</f>
        <v/>
      </c>
      <c r="H208" s="27" t="inlineStr">
        <is>
          <t>RPE 6</t>
        </is>
      </c>
      <c r="I208" s="36" t="inlineStr"/>
      <c r="J208" s="12" t="inlineStr"/>
      <c r="K208" s="8" t="inlineStr"/>
      <c r="L208" s="12" t="inlineStr"/>
    </row>
    <row r="209" ht="20" customHeight="1">
      <c r="A209" s="40" t="n">
        <v>2</v>
      </c>
      <c r="B209" s="30" t="inlineStr">
        <is>
          <t>Chest-supported row</t>
        </is>
      </c>
      <c r="C209" s="55" t="inlineStr">
        <is>
          <t>Acc</t>
        </is>
      </c>
      <c r="D209" s="38" t="n">
        <v>2</v>
      </c>
      <c r="E209" s="38" t="inlineStr">
        <is>
          <t>8-10</t>
        </is>
      </c>
      <c r="F209" s="38" t="inlineStr"/>
      <c r="G209" s="29" t="inlineStr"/>
      <c r="H209" s="40" t="inlineStr"/>
      <c r="I209" s="36" t="inlineStr"/>
      <c r="J209" s="12" t="inlineStr"/>
      <c r="K209" s="8" t="inlineStr"/>
      <c r="L209" s="12" t="inlineStr"/>
    </row>
    <row r="210" ht="20" customHeight="1">
      <c r="A210" s="31" t="n">
        <v>3</v>
      </c>
      <c r="B210" s="30" t="inlineStr">
        <is>
          <t>Lat pulldown</t>
        </is>
      </c>
      <c r="C210" s="55" t="inlineStr">
        <is>
          <t>Acc</t>
        </is>
      </c>
      <c r="D210" s="29" t="n">
        <v>2</v>
      </c>
      <c r="E210" s="29" t="inlineStr">
        <is>
          <t>10</t>
        </is>
      </c>
      <c r="F210" s="29" t="inlineStr"/>
      <c r="G210" s="29" t="inlineStr"/>
      <c r="H210" s="31" t="inlineStr"/>
      <c r="I210" s="36" t="inlineStr"/>
      <c r="J210" s="12" t="inlineStr"/>
      <c r="K210" s="8" t="inlineStr"/>
      <c r="L210" s="12" t="inlineStr"/>
    </row>
    <row r="211" ht="20" customHeight="1">
      <c r="A211" s="40" t="n">
        <v>4</v>
      </c>
      <c r="B211" s="30" t="inlineStr">
        <is>
          <t>Lateral raise</t>
        </is>
      </c>
      <c r="C211" s="55" t="inlineStr">
        <is>
          <t>Acc</t>
        </is>
      </c>
      <c r="D211" s="38" t="n">
        <v>2</v>
      </c>
      <c r="E211" s="38" t="inlineStr">
        <is>
          <t>12-15</t>
        </is>
      </c>
      <c r="F211" s="38" t="inlineStr"/>
      <c r="G211" s="29" t="inlineStr"/>
      <c r="H211" s="40" t="inlineStr"/>
      <c r="I211" s="36" t="inlineStr"/>
      <c r="J211" s="12" t="inlineStr"/>
      <c r="K211" s="8" t="inlineStr"/>
      <c r="L211" s="12" t="inlineStr"/>
    </row>
    <row r="212" ht="20" customHeight="1">
      <c r="A212" s="31" t="n">
        <v>5</v>
      </c>
      <c r="B212" s="30" t="inlineStr">
        <is>
          <t>Curl</t>
        </is>
      </c>
      <c r="C212" s="55" t="inlineStr">
        <is>
          <t>Acc</t>
        </is>
      </c>
      <c r="D212" s="29" t="n">
        <v>2</v>
      </c>
      <c r="E212" s="29" t="inlineStr">
        <is>
          <t>10</t>
        </is>
      </c>
      <c r="F212" s="29" t="inlineStr"/>
      <c r="G212" s="29" t="inlineStr"/>
      <c r="H212" s="31" t="inlineStr"/>
      <c r="I212" s="36" t="inlineStr"/>
      <c r="J212" s="12" t="inlineStr"/>
      <c r="K212" s="8" t="inlineStr"/>
      <c r="L212" s="12" t="inlineStr"/>
    </row>
    <row r="213"/>
    <row r="214" ht="22" customHeight="1">
      <c r="A214" s="51" t="inlineStr">
        <is>
          <t>Day 5 : Saturday — Squat variant + Rack Pull</t>
        </is>
      </c>
    </row>
    <row r="215" ht="48" customHeight="1">
      <c r="A215" s="52" t="inlineStr">
        <is>
          <t>💡 Coaching Rationale: Both movements explicitly 'easy' — by the end of this week you should feel noticeably fresher than you did entering it. If you don't, that's useful information: consider extending recovery before Week 11 rather than pushing into it fatigued.</t>
        </is>
      </c>
    </row>
    <row r="216" ht="22" customHeight="1">
      <c r="A216" s="53" t="inlineStr">
        <is>
          <t>#</t>
        </is>
      </c>
      <c r="B216" s="53" t="inlineStr">
        <is>
          <t>Exercise</t>
        </is>
      </c>
      <c r="C216" s="53" t="inlineStr">
        <is>
          <t>Type</t>
        </is>
      </c>
      <c r="D216" s="53" t="inlineStr">
        <is>
          <t>Sets</t>
        </is>
      </c>
      <c r="E216" s="53" t="inlineStr">
        <is>
          <t>Reps</t>
        </is>
      </c>
      <c r="F216" s="53" t="inlineStr">
        <is>
          <t>% TM</t>
        </is>
      </c>
      <c r="G216" s="53" t="inlineStr">
        <is>
          <t>Prescribed Weight</t>
        </is>
      </c>
      <c r="H216" s="53" t="inlineStr">
        <is>
          <t>Target RPE</t>
        </is>
      </c>
      <c r="I216" s="53" t="inlineStr">
        <is>
          <t>Prescription Notes</t>
        </is>
      </c>
      <c r="J216" s="53" t="inlineStr">
        <is>
          <t>Actual Weight</t>
        </is>
      </c>
      <c r="K216" s="53" t="inlineStr">
        <is>
          <t>Actual Reps</t>
        </is>
      </c>
      <c r="L216" s="53" t="inlineStr">
        <is>
          <t>Done?</t>
        </is>
      </c>
    </row>
    <row r="217" ht="20" customHeight="1">
      <c r="A217" s="31" t="n">
        <v>1</v>
      </c>
      <c r="B217" s="32" t="inlineStr">
        <is>
          <t>Light squat technique</t>
        </is>
      </c>
      <c r="C217" s="54" t="inlineStr">
        <is>
          <t>MAIN</t>
        </is>
      </c>
      <c r="D217" s="27" t="n">
        <v>2</v>
      </c>
      <c r="E217" s="27" t="inlineStr">
        <is>
          <t>2</t>
        </is>
      </c>
      <c r="F217" s="34" t="n">
        <v>0.6</v>
      </c>
      <c r="G217" s="35">
        <f>ROUND('Setup &amp; Dashboard'!$E$7*0.6/5, 0)*5</f>
        <v/>
      </c>
      <c r="H217" s="31" t="inlineStr"/>
      <c r="I217" s="36" t="inlineStr"/>
      <c r="J217" s="12" t="inlineStr"/>
      <c r="K217" s="8" t="inlineStr"/>
      <c r="L217" s="12" t="inlineStr"/>
    </row>
    <row r="218" ht="20" customHeight="1">
      <c r="A218" s="31" t="n">
        <v>2</v>
      </c>
      <c r="B218" s="32" t="inlineStr">
        <is>
          <t>Rack pull</t>
        </is>
      </c>
      <c r="C218" s="54" t="inlineStr">
        <is>
          <t>MAIN</t>
        </is>
      </c>
      <c r="D218" s="27" t="n">
        <v>2</v>
      </c>
      <c r="E218" s="27" t="inlineStr">
        <is>
          <t>2</t>
        </is>
      </c>
      <c r="F218" s="34" t="n">
        <v>0.6</v>
      </c>
      <c r="G218" s="35">
        <f>ROUND('Setup &amp; Dashboard'!$E$10*0.6/5, 0)*5</f>
        <v/>
      </c>
      <c r="H218" s="31" t="inlineStr"/>
      <c r="I218" s="42" t="inlineStr">
        <is>
          <t>easy</t>
        </is>
      </c>
      <c r="J218" s="12" t="inlineStr"/>
      <c r="K218" s="8" t="inlineStr"/>
      <c r="L218" s="12" t="inlineStr"/>
    </row>
    <row r="219" ht="20" customHeight="1">
      <c r="A219" s="40" t="n">
        <v>3</v>
      </c>
      <c r="B219" s="30" t="inlineStr">
        <is>
          <t>Reverse hyper</t>
        </is>
      </c>
      <c r="C219" s="55" t="inlineStr">
        <is>
          <t>Acc</t>
        </is>
      </c>
      <c r="D219" s="38" t="n">
        <v>1</v>
      </c>
      <c r="E219" s="38" t="inlineStr">
        <is>
          <t>10</t>
        </is>
      </c>
      <c r="F219" s="38" t="inlineStr"/>
      <c r="G219" s="29" t="inlineStr"/>
      <c r="H219" s="40" t="inlineStr"/>
      <c r="I219" s="36" t="inlineStr"/>
      <c r="J219" s="12" t="inlineStr"/>
      <c r="K219" s="8" t="inlineStr"/>
      <c r="L219" s="12" t="inlineStr"/>
    </row>
  </sheetData>
  <mergeCells count="57">
    <mergeCell ref="A172:L172"/>
    <mergeCell ref="A205:L205"/>
    <mergeCell ref="A128:L128"/>
    <mergeCell ref="A137:L137"/>
    <mergeCell ref="A84:L84"/>
    <mergeCell ref="A66:L66"/>
    <mergeCell ref="A198:L198"/>
    <mergeCell ref="A74:L74"/>
    <mergeCell ref="A118:L118"/>
    <mergeCell ref="A189:L189"/>
    <mergeCell ref="A136:L136"/>
    <mergeCell ref="A154:L154"/>
    <mergeCell ref="A214:L214"/>
    <mergeCell ref="A50:L50"/>
    <mergeCell ref="A145:L145"/>
    <mergeCell ref="A57:L57"/>
    <mergeCell ref="A101:L101"/>
    <mergeCell ref="A2:L2"/>
    <mergeCell ref="A5:L5"/>
    <mergeCell ref="A23:L23"/>
    <mergeCell ref="A14:L14"/>
    <mergeCell ref="A22:L22"/>
    <mergeCell ref="A181:L181"/>
    <mergeCell ref="A206:L206"/>
    <mergeCell ref="A215:L215"/>
    <mergeCell ref="A4:L4"/>
    <mergeCell ref="A180:L180"/>
    <mergeCell ref="A171:L171"/>
    <mergeCell ref="A29:L29"/>
    <mergeCell ref="A161:L161"/>
    <mergeCell ref="A199:L199"/>
    <mergeCell ref="A190:L190"/>
    <mergeCell ref="A117:L117"/>
    <mergeCell ref="A155:L155"/>
    <mergeCell ref="A93:L93"/>
    <mergeCell ref="A13:L13"/>
    <mergeCell ref="A111:L111"/>
    <mergeCell ref="A58:L58"/>
    <mergeCell ref="A102:L102"/>
    <mergeCell ref="A40:L40"/>
    <mergeCell ref="A127:L127"/>
    <mergeCell ref="A67:L67"/>
    <mergeCell ref="A39:L39"/>
    <mergeCell ref="A83:L83"/>
    <mergeCell ref="A48:L48"/>
    <mergeCell ref="A92:L92"/>
    <mergeCell ref="A30:L30"/>
    <mergeCell ref="A73:L73"/>
    <mergeCell ref="A49:L49"/>
    <mergeCell ref="A138:L138"/>
    <mergeCell ref="A182:L182"/>
    <mergeCell ref="A1:L1"/>
    <mergeCell ref="A94:L94"/>
    <mergeCell ref="A6:L6"/>
    <mergeCell ref="A110:L110"/>
    <mergeCell ref="A146:L146"/>
    <mergeCell ref="A162:L16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1"/>
  <sheetViews>
    <sheetView showGridLines="1" workbookViewId="0">
      <selection activeCell="A1" sqref="A1"/>
    </sheetView>
  </sheetViews>
  <sheetFormatPr baseColWidth="8" defaultRowHeight="15"/>
  <cols>
    <col width="5" customWidth="1" min="1" max="1"/>
    <col width="26" customWidth="1" min="2" max="2"/>
    <col width="10" customWidth="1" min="3" max="3"/>
    <col width="13" customWidth="1" min="4" max="4"/>
    <col width="13" customWidth="1" min="5" max="5"/>
    <col width="10" customWidth="1" min="6" max="6"/>
    <col width="48" customWidth="1" min="7" max="7"/>
    <col width="13" customWidth="1" min="8" max="8"/>
    <col width="53" customWidth="1" min="9" max="9"/>
    <col width="16" customWidth="1" min="10" max="10"/>
    <col width="15" customWidth="1" min="11" max="11"/>
    <col width="10" customWidth="1" min="12" max="12"/>
  </cols>
  <sheetData>
    <row r="1" ht="30" customHeight="1">
      <c r="A1" s="1" t="inlineStr">
        <is>
          <t>CHIKO_LIFTS : BLOCK 3 (W11-13) (WEEKS 11–13)</t>
        </is>
      </c>
    </row>
    <row r="2" ht="20" customHeight="1">
      <c r="A2" s="26" t="inlineStr">
        <is>
          <t>Peak / Realization (W11) ➔ FINAL FORM Taper (W12) ➔ Testing Window PRs (W13)</t>
        </is>
      </c>
    </row>
    <row r="3"/>
    <row r="4" ht="26" customHeight="1">
      <c r="A4" s="60" t="inlineStr">
        <is>
          <t>WEEK 11 — PEAK / REALIZATION</t>
        </is>
      </c>
    </row>
    <row r="5" ht="22" customHeight="1">
      <c r="A5" s="51" t="inlineStr">
        <is>
          <t>Day 1 : Monday — Squat</t>
        </is>
      </c>
    </row>
    <row r="6" ht="64" customHeight="1">
      <c r="A6" s="52" t="inlineStr">
        <is>
          <t>💡 Coaching Rationale: A true heavy single at 90% TM, RPE 8-9 — deliberately lower than the original program's 92-93% call, because this is now two near-max exposures away from your actual PR attempt, not one. The back-off doubles at 82% add a small amount of extra quality volume without turning this into another intensification-style session.</t>
        </is>
      </c>
    </row>
    <row r="7" ht="22" customHeight="1">
      <c r="A7" s="53" t="inlineStr">
        <is>
          <t>#</t>
        </is>
      </c>
      <c r="B7" s="53" t="inlineStr">
        <is>
          <t>Exercise</t>
        </is>
      </c>
      <c r="C7" s="53" t="inlineStr">
        <is>
          <t>Type</t>
        </is>
      </c>
      <c r="D7" s="53" t="inlineStr">
        <is>
          <t>Sets</t>
        </is>
      </c>
      <c r="E7" s="53" t="inlineStr">
        <is>
          <t>Reps</t>
        </is>
      </c>
      <c r="F7" s="53" t="inlineStr">
        <is>
          <t>% TM</t>
        </is>
      </c>
      <c r="G7" s="53" t="inlineStr">
        <is>
          <t>Prescribed Weight</t>
        </is>
      </c>
      <c r="H7" s="53" t="inlineStr">
        <is>
          <t>Target RPE</t>
        </is>
      </c>
      <c r="I7" s="53" t="inlineStr">
        <is>
          <t>Prescription Notes</t>
        </is>
      </c>
      <c r="J7" s="53" t="inlineStr">
        <is>
          <t>Actual Weight</t>
        </is>
      </c>
      <c r="K7" s="53" t="inlineStr">
        <is>
          <t>Actual Reps</t>
        </is>
      </c>
      <c r="L7" s="53" t="inlineStr">
        <is>
          <t>Done?</t>
        </is>
      </c>
    </row>
    <row r="8" ht="20" customHeight="1">
      <c r="A8" s="31" t="n">
        <v>1</v>
      </c>
      <c r="B8" s="32" t="inlineStr">
        <is>
          <t>Squat</t>
        </is>
      </c>
      <c r="C8" s="54" t="inlineStr">
        <is>
          <t>MAIN</t>
        </is>
      </c>
      <c r="D8" s="27" t="n">
        <v>1</v>
      </c>
      <c r="E8" s="27" t="inlineStr">
        <is>
          <t>1</t>
        </is>
      </c>
      <c r="F8" s="34" t="n">
        <v>0.9</v>
      </c>
      <c r="G8" s="35">
        <f>ROUND('Setup &amp; Dashboard'!$E$7*0.9/5, 0)*5</f>
        <v/>
      </c>
      <c r="H8" s="27" t="inlineStr">
        <is>
          <t>RPE 8-9</t>
        </is>
      </c>
      <c r="I8" s="42" t="inlineStr">
        <is>
          <t>then 2x1 @ 82% TM</t>
        </is>
      </c>
      <c r="J8" s="12" t="inlineStr"/>
      <c r="K8" s="8" t="inlineStr"/>
      <c r="L8" s="12" t="inlineStr"/>
    </row>
    <row r="9" ht="20" customHeight="1">
      <c r="A9" s="40" t="n">
        <v>2</v>
      </c>
      <c r="B9" s="30" t="inlineStr">
        <is>
          <t>Copenhagen plank</t>
        </is>
      </c>
      <c r="C9" s="55" t="inlineStr">
        <is>
          <t>Acc</t>
        </is>
      </c>
      <c r="D9" s="38" t="n">
        <v>2</v>
      </c>
      <c r="E9" s="38" t="inlineStr">
        <is>
          <t>15sec/side</t>
        </is>
      </c>
      <c r="F9" s="38" t="inlineStr"/>
      <c r="G9" s="29" t="inlineStr"/>
      <c r="H9" s="40" t="inlineStr"/>
      <c r="I9" s="36" t="inlineStr"/>
      <c r="J9" s="12" t="inlineStr"/>
      <c r="K9" s="8" t="inlineStr"/>
      <c r="L9" s="12" t="inlineStr"/>
    </row>
    <row r="10" ht="20" customHeight="1">
      <c r="A10" s="31" t="n">
        <v>3</v>
      </c>
      <c r="B10" s="30" t="inlineStr">
        <is>
          <t>Pallof press</t>
        </is>
      </c>
      <c r="C10" s="55" t="inlineStr">
        <is>
          <t>Acc</t>
        </is>
      </c>
      <c r="D10" s="29" t="n">
        <v>2</v>
      </c>
      <c r="E10" s="29" t="inlineStr">
        <is>
          <t>8/side</t>
        </is>
      </c>
      <c r="F10" s="29" t="inlineStr"/>
      <c r="G10" s="29" t="inlineStr"/>
      <c r="H10" s="31" t="inlineStr"/>
      <c r="I10" s="36" t="inlineStr"/>
      <c r="J10" s="12" t="inlineStr"/>
      <c r="K10" s="8" t="inlineStr"/>
      <c r="L10" s="12" t="inlineStr"/>
    </row>
    <row r="11"/>
    <row r="12" ht="22" customHeight="1">
      <c r="A12" s="51" t="inlineStr">
        <is>
          <t>Day 2 : Tuesday — Bench</t>
        </is>
      </c>
    </row>
    <row r="13" ht="26" customHeight="1">
      <c r="A13" s="52" t="inlineStr">
        <is>
          <t>💡 Coaching Rationale: Same structure and same reasoning — 90% single, back-off doubles at 82%.</t>
        </is>
      </c>
    </row>
    <row r="14" ht="22" customHeight="1">
      <c r="A14" s="53" t="inlineStr">
        <is>
          <t>#</t>
        </is>
      </c>
      <c r="B14" s="53" t="inlineStr">
        <is>
          <t>Exercise</t>
        </is>
      </c>
      <c r="C14" s="53" t="inlineStr">
        <is>
          <t>Type</t>
        </is>
      </c>
      <c r="D14" s="53" t="inlineStr">
        <is>
          <t>Sets</t>
        </is>
      </c>
      <c r="E14" s="53" t="inlineStr">
        <is>
          <t>Reps</t>
        </is>
      </c>
      <c r="F14" s="53" t="inlineStr">
        <is>
          <t>% TM</t>
        </is>
      </c>
      <c r="G14" s="53" t="inlineStr">
        <is>
          <t>Prescribed Weight</t>
        </is>
      </c>
      <c r="H14" s="53" t="inlineStr">
        <is>
          <t>Target RPE</t>
        </is>
      </c>
      <c r="I14" s="53" t="inlineStr">
        <is>
          <t>Prescription Notes</t>
        </is>
      </c>
      <c r="J14" s="53" t="inlineStr">
        <is>
          <t>Actual Weight</t>
        </is>
      </c>
      <c r="K14" s="53" t="inlineStr">
        <is>
          <t>Actual Reps</t>
        </is>
      </c>
      <c r="L14" s="53" t="inlineStr">
        <is>
          <t>Done?</t>
        </is>
      </c>
    </row>
    <row r="15" ht="20" customHeight="1">
      <c r="A15" s="31" t="n">
        <v>1</v>
      </c>
      <c r="B15" s="32" t="inlineStr">
        <is>
          <t>Bench</t>
        </is>
      </c>
      <c r="C15" s="54" t="inlineStr">
        <is>
          <t>MAIN</t>
        </is>
      </c>
      <c r="D15" s="27" t="n">
        <v>1</v>
      </c>
      <c r="E15" s="27" t="inlineStr">
        <is>
          <t>1</t>
        </is>
      </c>
      <c r="F15" s="34" t="n">
        <v>0.9</v>
      </c>
      <c r="G15" s="35">
        <f>ROUND('Setup &amp; Dashboard'!$E$8*0.9/5, 0)*5</f>
        <v/>
      </c>
      <c r="H15" s="27" t="inlineStr">
        <is>
          <t>RPE 8-9</t>
        </is>
      </c>
      <c r="I15" s="42" t="inlineStr">
        <is>
          <t>then 2x1 @ 82% TM</t>
        </is>
      </c>
      <c r="J15" s="12" t="inlineStr"/>
      <c r="K15" s="8" t="inlineStr"/>
      <c r="L15" s="12" t="inlineStr"/>
    </row>
    <row r="16" ht="20" customHeight="1">
      <c r="A16" s="31" t="n">
        <v>2</v>
      </c>
      <c r="B16" s="30" t="inlineStr">
        <is>
          <t>Close-grip bench</t>
        </is>
      </c>
      <c r="C16" s="55" t="inlineStr">
        <is>
          <t>Acc</t>
        </is>
      </c>
      <c r="D16" s="29" t="n">
        <v>2</v>
      </c>
      <c r="E16" s="29" t="inlineStr">
        <is>
          <t>3</t>
        </is>
      </c>
      <c r="F16" s="29" t="inlineStr"/>
      <c r="G16" s="29" t="inlineStr"/>
      <c r="H16" s="31" t="inlineStr"/>
      <c r="I16" s="36" t="inlineStr"/>
      <c r="J16" s="12" t="inlineStr"/>
      <c r="K16" s="8" t="inlineStr"/>
      <c r="L16" s="12" t="inlineStr"/>
    </row>
    <row r="17" ht="20" customHeight="1">
      <c r="A17" s="40" t="n">
        <v>3</v>
      </c>
      <c r="B17" s="30" t="inlineStr">
        <is>
          <t>Face pull</t>
        </is>
      </c>
      <c r="C17" s="55" t="inlineStr">
        <is>
          <t>Acc</t>
        </is>
      </c>
      <c r="D17" s="38" t="n">
        <v>2</v>
      </c>
      <c r="E17" s="38" t="inlineStr">
        <is>
          <t>15</t>
        </is>
      </c>
      <c r="F17" s="38" t="inlineStr"/>
      <c r="G17" s="29" t="inlineStr"/>
      <c r="H17" s="40" t="inlineStr"/>
      <c r="I17" s="36" t="inlineStr"/>
      <c r="J17" s="12" t="inlineStr"/>
      <c r="K17" s="8" t="inlineStr"/>
      <c r="L17" s="12" t="inlineStr"/>
    </row>
    <row r="18"/>
    <row r="19" ht="22" customHeight="1">
      <c r="A19" s="51" t="inlineStr">
        <is>
          <t>Day 3 : Thursday — Deadlift</t>
        </is>
      </c>
    </row>
    <row r="20" ht="32" customHeight="1">
      <c r="A20" s="52" t="inlineStr">
        <is>
          <t>💡 Coaching Rationale: A single heavy attempt at 88% and nothing else beyond reverse hyper — deadlift gets the least additional work of any lift this week because it has the least recovery runway left before test week.</t>
        </is>
      </c>
    </row>
    <row r="21" ht="22" customHeight="1">
      <c r="A21" s="53" t="inlineStr">
        <is>
          <t>#</t>
        </is>
      </c>
      <c r="B21" s="53" t="inlineStr">
        <is>
          <t>Exercise</t>
        </is>
      </c>
      <c r="C21" s="53" t="inlineStr">
        <is>
          <t>Type</t>
        </is>
      </c>
      <c r="D21" s="53" t="inlineStr">
        <is>
          <t>Sets</t>
        </is>
      </c>
      <c r="E21" s="53" t="inlineStr">
        <is>
          <t>Reps</t>
        </is>
      </c>
      <c r="F21" s="53" t="inlineStr">
        <is>
          <t>% TM</t>
        </is>
      </c>
      <c r="G21" s="53" t="inlineStr">
        <is>
          <t>Prescribed Weight</t>
        </is>
      </c>
      <c r="H21" s="53" t="inlineStr">
        <is>
          <t>Target RPE</t>
        </is>
      </c>
      <c r="I21" s="53" t="inlineStr">
        <is>
          <t>Prescription Notes</t>
        </is>
      </c>
      <c r="J21" s="53" t="inlineStr">
        <is>
          <t>Actual Weight</t>
        </is>
      </c>
      <c r="K21" s="53" t="inlineStr">
        <is>
          <t>Actual Reps</t>
        </is>
      </c>
      <c r="L21" s="53" t="inlineStr">
        <is>
          <t>Done?</t>
        </is>
      </c>
    </row>
    <row r="22" ht="20" customHeight="1">
      <c r="A22" s="31" t="n">
        <v>1</v>
      </c>
      <c r="B22" s="32" t="inlineStr">
        <is>
          <t>Deadlift</t>
        </is>
      </c>
      <c r="C22" s="54" t="inlineStr">
        <is>
          <t>MAIN</t>
        </is>
      </c>
      <c r="D22" s="27" t="n">
        <v>1</v>
      </c>
      <c r="E22" s="27" t="inlineStr">
        <is>
          <t>1</t>
        </is>
      </c>
      <c r="F22" s="34" t="n">
        <v>0.88</v>
      </c>
      <c r="G22" s="35">
        <f>ROUND('Setup &amp; Dashboard'!$E$9*0.88/5, 0)*5</f>
        <v/>
      </c>
      <c r="H22" s="27" t="inlineStr">
        <is>
          <t>RPE 8-9</t>
        </is>
      </c>
      <c r="I22" s="36" t="inlineStr"/>
      <c r="J22" s="12" t="inlineStr"/>
      <c r="K22" s="8" t="inlineStr"/>
      <c r="L22" s="12" t="inlineStr"/>
    </row>
    <row r="23" ht="20" customHeight="1">
      <c r="A23" s="40" t="n">
        <v>2</v>
      </c>
      <c r="B23" s="30" t="inlineStr">
        <is>
          <t>Reverse hyper</t>
        </is>
      </c>
      <c r="C23" s="55" t="inlineStr">
        <is>
          <t>Acc</t>
        </is>
      </c>
      <c r="D23" s="38" t="n">
        <v>2</v>
      </c>
      <c r="E23" s="38" t="inlineStr">
        <is>
          <t>10</t>
        </is>
      </c>
      <c r="F23" s="38" t="inlineStr"/>
      <c r="G23" s="29" t="inlineStr"/>
      <c r="H23" s="40" t="inlineStr"/>
      <c r="I23" s="36" t="inlineStr"/>
      <c r="J23" s="12" t="inlineStr"/>
      <c r="K23" s="8" t="inlineStr"/>
      <c r="L23" s="12" t="inlineStr"/>
    </row>
    <row r="24"/>
    <row r="25" ht="22" customHeight="1">
      <c r="A25" s="51" t="inlineStr">
        <is>
          <t>Day 4 : Friday — Bench variant / upper body</t>
        </is>
      </c>
    </row>
    <row r="26" ht="32" customHeight="1">
      <c r="A26" s="52" t="inlineStr">
        <is>
          <t>💡 Coaching Rationale: Lower intensity (75%) than Week 9's version of this session — as you get closer to testing, every non-peak day should be getting easier, not staying flat.</t>
        </is>
      </c>
    </row>
    <row r="27" ht="22" customHeight="1">
      <c r="A27" s="53" t="inlineStr">
        <is>
          <t>#</t>
        </is>
      </c>
      <c r="B27" s="53" t="inlineStr">
        <is>
          <t>Exercise</t>
        </is>
      </c>
      <c r="C27" s="53" t="inlineStr">
        <is>
          <t>Type</t>
        </is>
      </c>
      <c r="D27" s="53" t="inlineStr">
        <is>
          <t>Sets</t>
        </is>
      </c>
      <c r="E27" s="53" t="inlineStr">
        <is>
          <t>Reps</t>
        </is>
      </c>
      <c r="F27" s="53" t="inlineStr">
        <is>
          <t>% TM</t>
        </is>
      </c>
      <c r="G27" s="53" t="inlineStr">
        <is>
          <t>Prescribed Weight</t>
        </is>
      </c>
      <c r="H27" s="53" t="inlineStr">
        <is>
          <t>Target RPE</t>
        </is>
      </c>
      <c r="I27" s="53" t="inlineStr">
        <is>
          <t>Prescription Notes</t>
        </is>
      </c>
      <c r="J27" s="53" t="inlineStr">
        <is>
          <t>Actual Weight</t>
        </is>
      </c>
      <c r="K27" s="53" t="inlineStr">
        <is>
          <t>Actual Reps</t>
        </is>
      </c>
      <c r="L27" s="53" t="inlineStr">
        <is>
          <t>Done?</t>
        </is>
      </c>
    </row>
    <row r="28" ht="20" customHeight="1">
      <c r="A28" s="31" t="n">
        <v>1</v>
      </c>
      <c r="B28" s="32" t="inlineStr">
        <is>
          <t>Competition-style bench</t>
        </is>
      </c>
      <c r="C28" s="54" t="inlineStr">
        <is>
          <t>MAIN</t>
        </is>
      </c>
      <c r="D28" s="27" t="n">
        <v>2</v>
      </c>
      <c r="E28" s="27" t="inlineStr">
        <is>
          <t>2</t>
        </is>
      </c>
      <c r="F28" s="34" t="n">
        <v>0.75</v>
      </c>
      <c r="G28" s="35">
        <f>ROUND('Setup &amp; Dashboard'!$E$8*0.75/5, 0)*5</f>
        <v/>
      </c>
      <c r="H28" s="27" t="inlineStr">
        <is>
          <t>RPE 7</t>
        </is>
      </c>
      <c r="I28" s="36" t="inlineStr"/>
      <c r="J28" s="12" t="inlineStr"/>
      <c r="K28" s="8" t="inlineStr"/>
      <c r="L28" s="12" t="inlineStr"/>
    </row>
    <row r="29" ht="20" customHeight="1">
      <c r="A29" s="40" t="n">
        <v>2</v>
      </c>
      <c r="B29" s="30" t="inlineStr">
        <is>
          <t>Chest-supported row</t>
        </is>
      </c>
      <c r="C29" s="55" t="inlineStr">
        <is>
          <t>Acc</t>
        </is>
      </c>
      <c r="D29" s="38" t="n">
        <v>2</v>
      </c>
      <c r="E29" s="38" t="inlineStr">
        <is>
          <t>8</t>
        </is>
      </c>
      <c r="F29" s="38" t="inlineStr"/>
      <c r="G29" s="29" t="inlineStr"/>
      <c r="H29" s="40" t="inlineStr"/>
      <c r="I29" s="36" t="inlineStr"/>
      <c r="J29" s="12" t="inlineStr"/>
      <c r="K29" s="8" t="inlineStr"/>
      <c r="L29" s="12" t="inlineStr"/>
    </row>
    <row r="30" ht="20" customHeight="1">
      <c r="A30" s="31" t="n">
        <v>3</v>
      </c>
      <c r="B30" s="30" t="inlineStr">
        <is>
          <t>Lat pulldown</t>
        </is>
      </c>
      <c r="C30" s="55" t="inlineStr">
        <is>
          <t>Acc</t>
        </is>
      </c>
      <c r="D30" s="29" t="n">
        <v>2</v>
      </c>
      <c r="E30" s="29" t="inlineStr">
        <is>
          <t>8-10</t>
        </is>
      </c>
      <c r="F30" s="29" t="inlineStr"/>
      <c r="G30" s="29" t="inlineStr"/>
      <c r="H30" s="31" t="inlineStr"/>
      <c r="I30" s="36" t="inlineStr"/>
      <c r="J30" s="12" t="inlineStr"/>
      <c r="K30" s="8" t="inlineStr"/>
      <c r="L30" s="12" t="inlineStr"/>
    </row>
    <row r="31" ht="20" customHeight="1">
      <c r="A31" s="40" t="n">
        <v>4</v>
      </c>
      <c r="B31" s="30" t="inlineStr">
        <is>
          <t>Lateral raise</t>
        </is>
      </c>
      <c r="C31" s="55" t="inlineStr">
        <is>
          <t>Acc</t>
        </is>
      </c>
      <c r="D31" s="38" t="n">
        <v>2</v>
      </c>
      <c r="E31" s="38" t="inlineStr">
        <is>
          <t>12-15</t>
        </is>
      </c>
      <c r="F31" s="38" t="inlineStr"/>
      <c r="G31" s="29" t="inlineStr"/>
      <c r="H31" s="40" t="inlineStr"/>
      <c r="I31" s="36" t="inlineStr"/>
      <c r="J31" s="12" t="inlineStr"/>
      <c r="K31" s="8" t="inlineStr"/>
      <c r="L31" s="12" t="inlineStr"/>
    </row>
    <row r="32"/>
    <row r="33" ht="22" customHeight="1">
      <c r="A33" s="51" t="inlineStr">
        <is>
          <t>Day 5 : Saturday — Squat variant + Rack Pull</t>
        </is>
      </c>
    </row>
    <row r="34" ht="48" customHeight="1">
      <c r="A34" s="52" t="inlineStr">
        <is>
          <t>💡 Coaching Rationale: Rack pull's 'heavy double, then stop' prescription at 87% (down from the original 90%) is the same taper logic applied to the fourth lift — protect the number you're chasing in Week 13 by not chasing a smaller number too close to it.</t>
        </is>
      </c>
    </row>
    <row r="35" ht="22" customHeight="1">
      <c r="A35" s="53" t="inlineStr">
        <is>
          <t>#</t>
        </is>
      </c>
      <c r="B35" s="53" t="inlineStr">
        <is>
          <t>Exercise</t>
        </is>
      </c>
      <c r="C35" s="53" t="inlineStr">
        <is>
          <t>Type</t>
        </is>
      </c>
      <c r="D35" s="53" t="inlineStr">
        <is>
          <t>Sets</t>
        </is>
      </c>
      <c r="E35" s="53" t="inlineStr">
        <is>
          <t>Reps</t>
        </is>
      </c>
      <c r="F35" s="53" t="inlineStr">
        <is>
          <t>% TM</t>
        </is>
      </c>
      <c r="G35" s="53" t="inlineStr">
        <is>
          <t>Prescribed Weight</t>
        </is>
      </c>
      <c r="H35" s="53" t="inlineStr">
        <is>
          <t>Target RPE</t>
        </is>
      </c>
      <c r="I35" s="53" t="inlineStr">
        <is>
          <t>Prescription Notes</t>
        </is>
      </c>
      <c r="J35" s="53" t="inlineStr">
        <is>
          <t>Actual Weight</t>
        </is>
      </c>
      <c r="K35" s="53" t="inlineStr">
        <is>
          <t>Actual Reps</t>
        </is>
      </c>
      <c r="L35" s="53" t="inlineStr">
        <is>
          <t>Done?</t>
        </is>
      </c>
    </row>
    <row r="36" ht="20" customHeight="1">
      <c r="A36" s="31" t="n">
        <v>1</v>
      </c>
      <c r="B36" s="32" t="inlineStr">
        <is>
          <t>Paused squat</t>
        </is>
      </c>
      <c r="C36" s="54" t="inlineStr">
        <is>
          <t>MAIN</t>
        </is>
      </c>
      <c r="D36" s="27" t="n">
        <v>2</v>
      </c>
      <c r="E36" s="27" t="inlineStr">
        <is>
          <t>2</t>
        </is>
      </c>
      <c r="F36" s="34" t="n">
        <v>0.75</v>
      </c>
      <c r="G36" s="35">
        <f>ROUND('Setup &amp; Dashboard'!$E$7*0.75/5, 0)*5</f>
        <v/>
      </c>
      <c r="H36" s="27" t="inlineStr">
        <is>
          <t>RPE 7</t>
        </is>
      </c>
      <c r="I36" s="36" t="inlineStr"/>
      <c r="J36" s="12" t="inlineStr"/>
      <c r="K36" s="8" t="inlineStr"/>
      <c r="L36" s="12" t="inlineStr"/>
    </row>
    <row r="37" ht="20" customHeight="1">
      <c r="A37" s="31" t="n">
        <v>2</v>
      </c>
      <c r="B37" s="32" t="inlineStr">
        <is>
          <t>Rack pull</t>
        </is>
      </c>
      <c r="C37" s="54" t="inlineStr">
        <is>
          <t>MAIN</t>
        </is>
      </c>
      <c r="D37" s="27" t="n">
        <v>1</v>
      </c>
      <c r="E37" s="27" t="inlineStr">
        <is>
          <t>2</t>
        </is>
      </c>
      <c r="F37" s="34" t="n">
        <v>0.87</v>
      </c>
      <c r="G37" s="35">
        <f>ROUND('Setup &amp; Dashboard'!$E$10*0.87/5, 0)*5</f>
        <v/>
      </c>
      <c r="H37" s="31" t="inlineStr"/>
      <c r="I37" s="42" t="inlineStr">
        <is>
          <t>1 heavy double, then stop</t>
        </is>
      </c>
      <c r="J37" s="12" t="inlineStr"/>
      <c r="K37" s="8" t="inlineStr"/>
      <c r="L37" s="12" t="inlineStr"/>
    </row>
    <row r="38" ht="20" customHeight="1">
      <c r="A38" s="31" t="n">
        <v>3</v>
      </c>
      <c r="B38" s="30" t="inlineStr">
        <is>
          <t>Reverse hyper</t>
        </is>
      </c>
      <c r="C38" s="55" t="inlineStr">
        <is>
          <t>Acc</t>
        </is>
      </c>
      <c r="D38" s="29" t="n">
        <v>1</v>
      </c>
      <c r="E38" s="29" t="inlineStr">
        <is>
          <t>10</t>
        </is>
      </c>
      <c r="F38" s="29" t="inlineStr"/>
      <c r="G38" s="29" t="inlineStr"/>
      <c r="H38" s="31" t="inlineStr"/>
      <c r="I38" s="36" t="inlineStr"/>
      <c r="J38" s="12" t="inlineStr"/>
      <c r="K38" s="8" t="inlineStr"/>
      <c r="L38" s="12" t="inlineStr"/>
    </row>
    <row r="39"/>
    <row r="40"/>
    <row r="41" ht="26" customHeight="1">
      <c r="A41" s="61" t="inlineStr">
        <is>
          <t>WEEK 12 — FINAL FORM (TAPER)</t>
        </is>
      </c>
    </row>
    <row r="42" ht="22" customHeight="1">
      <c r="A42" s="51" t="inlineStr">
        <is>
          <t>Day 1 : Monday — Squat</t>
        </is>
      </c>
    </row>
    <row r="43" ht="64" customHeight="1">
      <c r="A43" s="52" t="inlineStr">
        <is>
          <t>💡 Coaching Rationale: 3x1 @ 85%, RPE 7-8, explicitly framed as 'crisp reps only, stop if speed drops.' This is the core taper principle: intensity stays moderate-high so the nervous system stays primed, but nothing here is a new max effort. The original program had a 95% single scheduled this week — the single biggest risk in the whole 13 weeks — and it's removed entirely.</t>
        </is>
      </c>
    </row>
    <row r="44" ht="22" customHeight="1">
      <c r="A44" s="53" t="inlineStr">
        <is>
          <t>#</t>
        </is>
      </c>
      <c r="B44" s="53" t="inlineStr">
        <is>
          <t>Exercise</t>
        </is>
      </c>
      <c r="C44" s="53" t="inlineStr">
        <is>
          <t>Type</t>
        </is>
      </c>
      <c r="D44" s="53" t="inlineStr">
        <is>
          <t>Sets</t>
        </is>
      </c>
      <c r="E44" s="53" t="inlineStr">
        <is>
          <t>Reps</t>
        </is>
      </c>
      <c r="F44" s="53" t="inlineStr">
        <is>
          <t>% TM</t>
        </is>
      </c>
      <c r="G44" s="53" t="inlineStr">
        <is>
          <t>Prescribed Weight</t>
        </is>
      </c>
      <c r="H44" s="53" t="inlineStr">
        <is>
          <t>Target RPE</t>
        </is>
      </c>
      <c r="I44" s="53" t="inlineStr">
        <is>
          <t>Prescription Notes</t>
        </is>
      </c>
      <c r="J44" s="53" t="inlineStr">
        <is>
          <t>Actual Weight</t>
        </is>
      </c>
      <c r="K44" s="53" t="inlineStr">
        <is>
          <t>Actual Reps</t>
        </is>
      </c>
      <c r="L44" s="53" t="inlineStr">
        <is>
          <t>Done?</t>
        </is>
      </c>
    </row>
    <row r="45" ht="20" customHeight="1">
      <c r="A45" s="31" t="n">
        <v>1</v>
      </c>
      <c r="B45" s="32" t="inlineStr">
        <is>
          <t>Squat</t>
        </is>
      </c>
      <c r="C45" s="54" t="inlineStr">
        <is>
          <t>MAIN</t>
        </is>
      </c>
      <c r="D45" s="27" t="n">
        <v>3</v>
      </c>
      <c r="E45" s="27" t="inlineStr">
        <is>
          <t>1</t>
        </is>
      </c>
      <c r="F45" s="34" t="n">
        <v>0.85</v>
      </c>
      <c r="G45" s="35">
        <f>ROUND('Setup &amp; Dashboard'!$E$7*0.85/5, 0)*5</f>
        <v/>
      </c>
      <c r="H45" s="27" t="inlineStr">
        <is>
          <t>RPE 7-8</t>
        </is>
      </c>
      <c r="I45" s="42" t="inlineStr">
        <is>
          <t>crisp reps only, stop if speed drops</t>
        </is>
      </c>
      <c r="J45" s="12" t="inlineStr"/>
      <c r="K45" s="8" t="inlineStr"/>
      <c r="L45" s="12" t="inlineStr"/>
    </row>
    <row r="46" ht="20" customHeight="1">
      <c r="A46" s="31" t="n">
        <v>2</v>
      </c>
      <c r="B46" s="30" t="inlineStr">
        <is>
          <t>Pallof press</t>
        </is>
      </c>
      <c r="C46" s="55" t="inlineStr">
        <is>
          <t>Acc</t>
        </is>
      </c>
      <c r="D46" s="29" t="n">
        <v>1</v>
      </c>
      <c r="E46" s="29" t="inlineStr">
        <is>
          <t>8/side</t>
        </is>
      </c>
      <c r="F46" s="29" t="inlineStr"/>
      <c r="G46" s="29" t="inlineStr"/>
      <c r="H46" s="31" t="inlineStr"/>
      <c r="I46" s="36" t="inlineStr"/>
      <c r="J46" s="12" t="inlineStr"/>
      <c r="K46" s="8" t="inlineStr"/>
      <c r="L46" s="12" t="inlineStr"/>
    </row>
    <row r="47"/>
    <row r="48" ht="22" customHeight="1">
      <c r="A48" s="51" t="inlineStr">
        <is>
          <t>Day 2 : Tuesday — Bench</t>
        </is>
      </c>
    </row>
    <row r="49" ht="26" customHeight="1">
      <c r="A49" s="52" t="inlineStr">
        <is>
          <t>💡 Coaching Rationale: Same taper logic — 3x1 @ 85%, speed-gated.</t>
        </is>
      </c>
    </row>
    <row r="50" ht="22" customHeight="1">
      <c r="A50" s="53" t="inlineStr">
        <is>
          <t>#</t>
        </is>
      </c>
      <c r="B50" s="53" t="inlineStr">
        <is>
          <t>Exercise</t>
        </is>
      </c>
      <c r="C50" s="53" t="inlineStr">
        <is>
          <t>Type</t>
        </is>
      </c>
      <c r="D50" s="53" t="inlineStr">
        <is>
          <t>Sets</t>
        </is>
      </c>
      <c r="E50" s="53" t="inlineStr">
        <is>
          <t>Reps</t>
        </is>
      </c>
      <c r="F50" s="53" t="inlineStr">
        <is>
          <t>% TM</t>
        </is>
      </c>
      <c r="G50" s="53" t="inlineStr">
        <is>
          <t>Prescribed Weight</t>
        </is>
      </c>
      <c r="H50" s="53" t="inlineStr">
        <is>
          <t>Target RPE</t>
        </is>
      </c>
      <c r="I50" s="53" t="inlineStr">
        <is>
          <t>Prescription Notes</t>
        </is>
      </c>
      <c r="J50" s="53" t="inlineStr">
        <is>
          <t>Actual Weight</t>
        </is>
      </c>
      <c r="K50" s="53" t="inlineStr">
        <is>
          <t>Actual Reps</t>
        </is>
      </c>
      <c r="L50" s="53" t="inlineStr">
        <is>
          <t>Done?</t>
        </is>
      </c>
    </row>
    <row r="51" ht="20" customHeight="1">
      <c r="A51" s="31" t="n">
        <v>1</v>
      </c>
      <c r="B51" s="32" t="inlineStr">
        <is>
          <t>Bench</t>
        </is>
      </c>
      <c r="C51" s="54" t="inlineStr">
        <is>
          <t>MAIN</t>
        </is>
      </c>
      <c r="D51" s="27" t="n">
        <v>3</v>
      </c>
      <c r="E51" s="27" t="inlineStr">
        <is>
          <t>1</t>
        </is>
      </c>
      <c r="F51" s="34" t="n">
        <v>0.85</v>
      </c>
      <c r="G51" s="35">
        <f>ROUND('Setup &amp; Dashboard'!$E$8*0.85/5, 0)*5</f>
        <v/>
      </c>
      <c r="H51" s="27" t="inlineStr">
        <is>
          <t>RPE 7-8</t>
        </is>
      </c>
      <c r="I51" s="36" t="inlineStr"/>
      <c r="J51" s="12" t="inlineStr"/>
      <c r="K51" s="8" t="inlineStr"/>
      <c r="L51" s="12" t="inlineStr"/>
    </row>
    <row r="52" ht="20" customHeight="1">
      <c r="A52" s="31" t="n">
        <v>2</v>
      </c>
      <c r="B52" s="30" t="inlineStr">
        <is>
          <t>Close-grip bench</t>
        </is>
      </c>
      <c r="C52" s="55" t="inlineStr">
        <is>
          <t>Acc</t>
        </is>
      </c>
      <c r="D52" s="29" t="n">
        <v>1</v>
      </c>
      <c r="E52" s="29" t="inlineStr">
        <is>
          <t>3</t>
        </is>
      </c>
      <c r="F52" s="29" t="inlineStr"/>
      <c r="G52" s="29" t="inlineStr"/>
      <c r="H52" s="31" t="inlineStr"/>
      <c r="I52" s="42" t="inlineStr">
        <is>
          <t>light</t>
        </is>
      </c>
      <c r="J52" s="12" t="inlineStr"/>
      <c r="K52" s="8" t="inlineStr"/>
      <c r="L52" s="12" t="inlineStr"/>
    </row>
    <row r="53" ht="20" customHeight="1">
      <c r="A53" s="40" t="n">
        <v>3</v>
      </c>
      <c r="B53" s="30" t="inlineStr">
        <is>
          <t>Face pull</t>
        </is>
      </c>
      <c r="C53" s="55" t="inlineStr">
        <is>
          <t>Acc</t>
        </is>
      </c>
      <c r="D53" s="38" t="n">
        <v>1</v>
      </c>
      <c r="E53" s="38" t="inlineStr">
        <is>
          <t>15</t>
        </is>
      </c>
      <c r="F53" s="38" t="inlineStr"/>
      <c r="G53" s="29" t="inlineStr"/>
      <c r="H53" s="40" t="inlineStr"/>
      <c r="I53" s="36" t="inlineStr"/>
      <c r="J53" s="12" t="inlineStr"/>
      <c r="K53" s="8" t="inlineStr"/>
      <c r="L53" s="12" t="inlineStr"/>
    </row>
    <row r="54"/>
    <row r="55" ht="22" customHeight="1">
      <c r="A55" s="51" t="inlineStr">
        <is>
          <t>Day 3 : Thursday — Deadlift</t>
        </is>
      </c>
    </row>
    <row r="56" ht="32" customHeight="1">
      <c r="A56" s="52" t="inlineStr">
        <is>
          <t>💡 Coaching Rationale: 2x1 @ 82%, RPE 7 — deadlift's taper intensity is deliberately the lowest of the four lifts, since it has the least margin for error going into test week and recovers slowest of the four.</t>
        </is>
      </c>
    </row>
    <row r="57" ht="22" customHeight="1">
      <c r="A57" s="53" t="inlineStr">
        <is>
          <t>#</t>
        </is>
      </c>
      <c r="B57" s="53" t="inlineStr">
        <is>
          <t>Exercise</t>
        </is>
      </c>
      <c r="C57" s="53" t="inlineStr">
        <is>
          <t>Type</t>
        </is>
      </c>
      <c r="D57" s="53" t="inlineStr">
        <is>
          <t>Sets</t>
        </is>
      </c>
      <c r="E57" s="53" t="inlineStr">
        <is>
          <t>Reps</t>
        </is>
      </c>
      <c r="F57" s="53" t="inlineStr">
        <is>
          <t>% TM</t>
        </is>
      </c>
      <c r="G57" s="53" t="inlineStr">
        <is>
          <t>Prescribed Weight</t>
        </is>
      </c>
      <c r="H57" s="53" t="inlineStr">
        <is>
          <t>Target RPE</t>
        </is>
      </c>
      <c r="I57" s="53" t="inlineStr">
        <is>
          <t>Prescription Notes</t>
        </is>
      </c>
      <c r="J57" s="53" t="inlineStr">
        <is>
          <t>Actual Weight</t>
        </is>
      </c>
      <c r="K57" s="53" t="inlineStr">
        <is>
          <t>Actual Reps</t>
        </is>
      </c>
      <c r="L57" s="53" t="inlineStr">
        <is>
          <t>Done?</t>
        </is>
      </c>
    </row>
    <row r="58" ht="20" customHeight="1">
      <c r="A58" s="31" t="n">
        <v>1</v>
      </c>
      <c r="B58" s="32" t="inlineStr">
        <is>
          <t>Deadlift</t>
        </is>
      </c>
      <c r="C58" s="54" t="inlineStr">
        <is>
          <t>MAIN</t>
        </is>
      </c>
      <c r="D58" s="27" t="n">
        <v>2</v>
      </c>
      <c r="E58" s="27" t="inlineStr">
        <is>
          <t>1</t>
        </is>
      </c>
      <c r="F58" s="34" t="n">
        <v>0.82</v>
      </c>
      <c r="G58" s="35">
        <f>ROUND('Setup &amp; Dashboard'!$E$9*0.82/5, 0)*5</f>
        <v/>
      </c>
      <c r="H58" s="27" t="inlineStr">
        <is>
          <t>RPE 7</t>
        </is>
      </c>
      <c r="I58" s="36" t="inlineStr"/>
      <c r="J58" s="12" t="inlineStr"/>
      <c r="K58" s="8" t="inlineStr"/>
      <c r="L58" s="12" t="inlineStr"/>
    </row>
    <row r="59" ht="20" customHeight="1">
      <c r="A59" s="40" t="n">
        <v>2</v>
      </c>
      <c r="B59" s="30" t="inlineStr">
        <is>
          <t>Reverse hyper</t>
        </is>
      </c>
      <c r="C59" s="55" t="inlineStr">
        <is>
          <t>Acc</t>
        </is>
      </c>
      <c r="D59" s="38" t="n">
        <v>1</v>
      </c>
      <c r="E59" s="38" t="inlineStr">
        <is>
          <t>10</t>
        </is>
      </c>
      <c r="F59" s="38" t="inlineStr"/>
      <c r="G59" s="29" t="inlineStr"/>
      <c r="H59" s="40" t="inlineStr"/>
      <c r="I59" s="36" t="inlineStr"/>
      <c r="J59" s="12" t="inlineStr"/>
      <c r="K59" s="8" t="inlineStr"/>
      <c r="L59" s="12" t="inlineStr"/>
    </row>
    <row r="60"/>
    <row r="61" ht="22" customHeight="1">
      <c r="A61" s="51" t="inlineStr">
        <is>
          <t>Day 4 : Friday — Bench variant / upper body</t>
        </is>
      </c>
    </row>
    <row r="62" ht="32" customHeight="1">
      <c r="A62" s="52" t="inlineStr">
        <is>
          <t>💡 Coaching Rationale: Purely maintenance — light lockout work and minimal accessory volume. Nothing in this session should register as hard.</t>
        </is>
      </c>
    </row>
    <row r="63" ht="22" customHeight="1">
      <c r="A63" s="53" t="inlineStr">
        <is>
          <t>#</t>
        </is>
      </c>
      <c r="B63" s="53" t="inlineStr">
        <is>
          <t>Exercise</t>
        </is>
      </c>
      <c r="C63" s="53" t="inlineStr">
        <is>
          <t>Type</t>
        </is>
      </c>
      <c r="D63" s="53" t="inlineStr">
        <is>
          <t>Sets</t>
        </is>
      </c>
      <c r="E63" s="53" t="inlineStr">
        <is>
          <t>Reps</t>
        </is>
      </c>
      <c r="F63" s="53" t="inlineStr">
        <is>
          <t>% TM</t>
        </is>
      </c>
      <c r="G63" s="53" t="inlineStr">
        <is>
          <t>Prescribed Weight</t>
        </is>
      </c>
      <c r="H63" s="53" t="inlineStr">
        <is>
          <t>Target RPE</t>
        </is>
      </c>
      <c r="I63" s="53" t="inlineStr">
        <is>
          <t>Prescription Notes</t>
        </is>
      </c>
      <c r="J63" s="53" t="inlineStr">
        <is>
          <t>Actual Weight</t>
        </is>
      </c>
      <c r="K63" s="53" t="inlineStr">
        <is>
          <t>Actual Reps</t>
        </is>
      </c>
      <c r="L63" s="53" t="inlineStr">
        <is>
          <t>Done?</t>
        </is>
      </c>
    </row>
    <row r="64" ht="20" customHeight="1">
      <c r="A64" s="31" t="n">
        <v>1</v>
      </c>
      <c r="B64" s="32" t="inlineStr">
        <is>
          <t>Bench lockout support</t>
        </is>
      </c>
      <c r="C64" s="54" t="inlineStr">
        <is>
          <t>MAIN</t>
        </is>
      </c>
      <c r="D64" s="27" t="n">
        <v>2</v>
      </c>
      <c r="E64" s="27" t="inlineStr">
        <is>
          <t>3</t>
        </is>
      </c>
      <c r="F64" s="34" t="n">
        <v>0.65</v>
      </c>
      <c r="G64" s="35">
        <f>ROUND('Setup &amp; Dashboard'!$E$8*0.65/5, 0)*5</f>
        <v/>
      </c>
      <c r="H64" s="31" t="inlineStr"/>
      <c r="I64" s="36" t="inlineStr"/>
      <c r="J64" s="12" t="inlineStr"/>
      <c r="K64" s="8" t="inlineStr"/>
      <c r="L64" s="12" t="inlineStr"/>
    </row>
    <row r="65" ht="20" customHeight="1">
      <c r="A65" s="40" t="n">
        <v>2</v>
      </c>
      <c r="B65" s="30" t="inlineStr">
        <is>
          <t>Chest-supported row</t>
        </is>
      </c>
      <c r="C65" s="55" t="inlineStr">
        <is>
          <t>Acc</t>
        </is>
      </c>
      <c r="D65" s="38" t="n">
        <v>1</v>
      </c>
      <c r="E65" s="38" t="inlineStr">
        <is>
          <t>8</t>
        </is>
      </c>
      <c r="F65" s="38" t="inlineStr"/>
      <c r="G65" s="29" t="inlineStr"/>
      <c r="H65" s="40" t="inlineStr"/>
      <c r="I65" s="36" t="inlineStr"/>
      <c r="J65" s="12" t="inlineStr"/>
      <c r="K65" s="8" t="inlineStr"/>
      <c r="L65" s="12" t="inlineStr"/>
    </row>
    <row r="66" ht="20" customHeight="1">
      <c r="A66" s="31" t="n">
        <v>3</v>
      </c>
      <c r="B66" s="30" t="inlineStr">
        <is>
          <t>Lat pulldown</t>
        </is>
      </c>
      <c r="C66" s="55" t="inlineStr">
        <is>
          <t>Acc</t>
        </is>
      </c>
      <c r="D66" s="29" t="n">
        <v>1</v>
      </c>
      <c r="E66" s="29" t="inlineStr">
        <is>
          <t>8</t>
        </is>
      </c>
      <c r="F66" s="29" t="inlineStr"/>
      <c r="G66" s="29" t="inlineStr"/>
      <c r="H66" s="31" t="inlineStr"/>
      <c r="I66" s="36" t="inlineStr"/>
      <c r="J66" s="12" t="inlineStr"/>
      <c r="K66" s="8" t="inlineStr"/>
      <c r="L66" s="12" t="inlineStr"/>
    </row>
    <row r="67"/>
    <row r="68" ht="22" customHeight="1">
      <c r="A68" s="51" t="inlineStr">
        <is>
          <t>Day 5 : Saturday — Squat variant + Rack Pull</t>
        </is>
      </c>
    </row>
    <row r="69" ht="26" customHeight="1">
      <c r="A69" s="52" t="inlineStr">
        <is>
          <t>💡 Coaching Rationale: Rack pull mirrors deadlift's approach — 2x1 @ 82%, RPE 7, a touch rather than a test.</t>
        </is>
      </c>
    </row>
    <row r="70" ht="22" customHeight="1">
      <c r="A70" s="53" t="inlineStr">
        <is>
          <t>#</t>
        </is>
      </c>
      <c r="B70" s="53" t="inlineStr">
        <is>
          <t>Exercise</t>
        </is>
      </c>
      <c r="C70" s="53" t="inlineStr">
        <is>
          <t>Type</t>
        </is>
      </c>
      <c r="D70" s="53" t="inlineStr">
        <is>
          <t>Sets</t>
        </is>
      </c>
      <c r="E70" s="53" t="inlineStr">
        <is>
          <t>Reps</t>
        </is>
      </c>
      <c r="F70" s="53" t="inlineStr">
        <is>
          <t>% TM</t>
        </is>
      </c>
      <c r="G70" s="53" t="inlineStr">
        <is>
          <t>Prescribed Weight</t>
        </is>
      </c>
      <c r="H70" s="53" t="inlineStr">
        <is>
          <t>Target RPE</t>
        </is>
      </c>
      <c r="I70" s="53" t="inlineStr">
        <is>
          <t>Prescription Notes</t>
        </is>
      </c>
      <c r="J70" s="53" t="inlineStr">
        <is>
          <t>Actual Weight</t>
        </is>
      </c>
      <c r="K70" s="53" t="inlineStr">
        <is>
          <t>Actual Reps</t>
        </is>
      </c>
      <c r="L70" s="53" t="inlineStr">
        <is>
          <t>Done?</t>
        </is>
      </c>
    </row>
    <row r="71" ht="20" customHeight="1">
      <c r="A71" s="31" t="n">
        <v>1</v>
      </c>
      <c r="B71" s="32" t="inlineStr">
        <is>
          <t>High bar squat</t>
        </is>
      </c>
      <c r="C71" s="54" t="inlineStr">
        <is>
          <t>MAIN</t>
        </is>
      </c>
      <c r="D71" s="27" t="n">
        <v>2</v>
      </c>
      <c r="E71" s="27" t="inlineStr">
        <is>
          <t>3</t>
        </is>
      </c>
      <c r="F71" s="34" t="n">
        <v>0.6</v>
      </c>
      <c r="G71" s="35">
        <f>ROUND('Setup &amp; Dashboard'!$E$7*0.6/5, 0)*5</f>
        <v/>
      </c>
      <c r="H71" s="31" t="inlineStr"/>
      <c r="I71" s="36" t="inlineStr"/>
      <c r="J71" s="12" t="inlineStr"/>
      <c r="K71" s="8" t="inlineStr"/>
      <c r="L71" s="12" t="inlineStr"/>
    </row>
    <row r="72" ht="20" customHeight="1">
      <c r="A72" s="31" t="n">
        <v>2</v>
      </c>
      <c r="B72" s="32" t="inlineStr">
        <is>
          <t>Rack pull</t>
        </is>
      </c>
      <c r="C72" s="54" t="inlineStr">
        <is>
          <t>MAIN</t>
        </is>
      </c>
      <c r="D72" s="27" t="n">
        <v>2</v>
      </c>
      <c r="E72" s="27" t="inlineStr">
        <is>
          <t>1</t>
        </is>
      </c>
      <c r="F72" s="34" t="n">
        <v>0.82</v>
      </c>
      <c r="G72" s="35">
        <f>ROUND('Setup &amp; Dashboard'!$E$10*0.82/5, 0)*5</f>
        <v/>
      </c>
      <c r="H72" s="27" t="inlineStr">
        <is>
          <t>RPE 7</t>
        </is>
      </c>
      <c r="I72" s="36" t="inlineStr"/>
      <c r="J72" s="12" t="inlineStr"/>
      <c r="K72" s="8" t="inlineStr"/>
      <c r="L72" s="12" t="inlineStr"/>
    </row>
    <row r="73" ht="20" customHeight="1">
      <c r="A73" s="40" t="n">
        <v>3</v>
      </c>
      <c r="B73" s="30" t="inlineStr">
        <is>
          <t>Reverse hyper</t>
        </is>
      </c>
      <c r="C73" s="55" t="inlineStr">
        <is>
          <t>Acc</t>
        </is>
      </c>
      <c r="D73" s="38" t="n">
        <v>1</v>
      </c>
      <c r="E73" s="38" t="inlineStr">
        <is>
          <t>10</t>
        </is>
      </c>
      <c r="F73" s="38" t="inlineStr"/>
      <c r="G73" s="29" t="inlineStr"/>
      <c r="H73" s="40" t="inlineStr"/>
      <c r="I73" s="36" t="inlineStr"/>
      <c r="J73" s="12" t="inlineStr"/>
      <c r="K73" s="8" t="inlineStr"/>
      <c r="L73" s="12" t="inlineStr"/>
    </row>
    <row r="74"/>
    <row r="75"/>
    <row r="76" ht="26" customHeight="1">
      <c r="A76" s="62" t="inlineStr">
        <is>
          <t>WEEK 13 — TESTING WINDOW</t>
        </is>
      </c>
    </row>
    <row r="77" ht="22" customHeight="1">
      <c r="A77" s="51" t="inlineStr">
        <is>
          <t>Day 1 : Day A — Light activation</t>
        </is>
      </c>
    </row>
    <row r="78" ht="32" customHeight="1">
      <c r="A78" s="52" t="inlineStr">
        <is>
          <t>💡 Coaching Rationale: Both squat and bench at 50% TM — just enough to prime the pattern and confirm everything feels normal. Nothing about this day should influence how heavy Monday's actual attempts feel.</t>
        </is>
      </c>
    </row>
    <row r="79" ht="22" customHeight="1">
      <c r="A79" s="53" t="inlineStr">
        <is>
          <t>#</t>
        </is>
      </c>
      <c r="B79" s="53" t="inlineStr">
        <is>
          <t>Exercise</t>
        </is>
      </c>
      <c r="C79" s="53" t="inlineStr">
        <is>
          <t>Type</t>
        </is>
      </c>
      <c r="D79" s="53" t="inlineStr">
        <is>
          <t>Sets</t>
        </is>
      </c>
      <c r="E79" s="53" t="inlineStr">
        <is>
          <t>Reps</t>
        </is>
      </c>
      <c r="F79" s="53" t="inlineStr">
        <is>
          <t>% TM</t>
        </is>
      </c>
      <c r="G79" s="53" t="inlineStr">
        <is>
          <t>Prescribed Weight</t>
        </is>
      </c>
      <c r="H79" s="53" t="inlineStr">
        <is>
          <t>Target RPE</t>
        </is>
      </c>
      <c r="I79" s="53" t="inlineStr">
        <is>
          <t>Prescription Notes</t>
        </is>
      </c>
      <c r="J79" s="53" t="inlineStr">
        <is>
          <t>Actual Weight</t>
        </is>
      </c>
      <c r="K79" s="53" t="inlineStr">
        <is>
          <t>Actual Reps</t>
        </is>
      </c>
      <c r="L79" s="53" t="inlineStr">
        <is>
          <t>Done?</t>
        </is>
      </c>
    </row>
    <row r="80" ht="20" customHeight="1">
      <c r="A80" s="31" t="n">
        <v>1</v>
      </c>
      <c r="B80" s="32" t="inlineStr">
        <is>
          <t>Squat</t>
        </is>
      </c>
      <c r="C80" s="54" t="inlineStr">
        <is>
          <t>MAIN</t>
        </is>
      </c>
      <c r="D80" s="27" t="n">
        <v>2</v>
      </c>
      <c r="E80" s="27" t="inlineStr">
        <is>
          <t>3</t>
        </is>
      </c>
      <c r="F80" s="34" t="n">
        <v>0.5</v>
      </c>
      <c r="G80" s="35">
        <f>ROUND('Setup &amp; Dashboard'!$E$7*0.5/5, 0)*5</f>
        <v/>
      </c>
      <c r="H80" s="31" t="inlineStr"/>
      <c r="I80" s="36" t="inlineStr"/>
      <c r="J80" s="12" t="inlineStr"/>
      <c r="K80" s="8" t="inlineStr"/>
      <c r="L80" s="12" t="inlineStr"/>
    </row>
    <row r="81" ht="20" customHeight="1">
      <c r="A81" s="31" t="n">
        <v>2</v>
      </c>
      <c r="B81" s="32" t="inlineStr">
        <is>
          <t>Bench</t>
        </is>
      </c>
      <c r="C81" s="54" t="inlineStr">
        <is>
          <t>MAIN</t>
        </is>
      </c>
      <c r="D81" s="27" t="n">
        <v>2</v>
      </c>
      <c r="E81" s="27" t="inlineStr">
        <is>
          <t>3</t>
        </is>
      </c>
      <c r="F81" s="34" t="n">
        <v>0.5</v>
      </c>
      <c r="G81" s="35">
        <f>ROUND('Setup &amp; Dashboard'!$E$8*0.5/5, 0)*5</f>
        <v/>
      </c>
      <c r="H81" s="31" t="inlineStr"/>
      <c r="I81" s="36" t="inlineStr"/>
      <c r="J81" s="12" t="inlineStr"/>
      <c r="K81" s="8" t="inlineStr"/>
      <c r="L81" s="12" t="inlineStr"/>
    </row>
    <row r="82"/>
    <row r="83" ht="22" customHeight="1">
      <c r="A83" s="51" t="inlineStr">
        <is>
          <t>Day 2 : Day B — Bench PR (After 1 Rest Day)</t>
        </is>
      </c>
    </row>
    <row r="84" ht="32" customHeight="1">
      <c r="A84" s="52" t="inlineStr">
        <is>
          <t>💡 Coaching Rationale: First of the four PR attempts, placed earliest because bench recovers fastest of the four lifts — a good lift here doesn't cost you much for the squat attempt that follows.</t>
        </is>
      </c>
    </row>
    <row r="85" ht="22" customHeight="1">
      <c r="A85" s="53" t="inlineStr">
        <is>
          <t>#</t>
        </is>
      </c>
      <c r="B85" s="53" t="inlineStr">
        <is>
          <t>Exercise</t>
        </is>
      </c>
      <c r="C85" s="53" t="inlineStr">
        <is>
          <t>Type</t>
        </is>
      </c>
      <c r="D85" s="53" t="inlineStr">
        <is>
          <t>Sets</t>
        </is>
      </c>
      <c r="E85" s="53" t="inlineStr">
        <is>
          <t>Reps</t>
        </is>
      </c>
      <c r="F85" s="53" t="inlineStr">
        <is>
          <t>% TM</t>
        </is>
      </c>
      <c r="G85" s="53" t="inlineStr">
        <is>
          <t>Prescribed Weight</t>
        </is>
      </c>
      <c r="H85" s="53" t="inlineStr">
        <is>
          <t>Target RPE</t>
        </is>
      </c>
      <c r="I85" s="53" t="inlineStr">
        <is>
          <t>Prescription Notes</t>
        </is>
      </c>
      <c r="J85" s="53" t="inlineStr">
        <is>
          <t>Actual Weight</t>
        </is>
      </c>
      <c r="K85" s="53" t="inlineStr">
        <is>
          <t>Actual Reps</t>
        </is>
      </c>
      <c r="L85" s="53" t="inlineStr">
        <is>
          <t>Done?</t>
        </is>
      </c>
    </row>
    <row r="86" ht="20" customHeight="1">
      <c r="A86" s="31" t="n">
        <v>1</v>
      </c>
      <c r="B86" s="32" t="inlineStr">
        <is>
          <t>Bench Opener</t>
        </is>
      </c>
      <c r="C86" s="54" t="inlineStr">
        <is>
          <t>MAIN</t>
        </is>
      </c>
      <c r="D86" s="27" t="inlineStr">
        <is>
          <t>3 Attempts</t>
        </is>
      </c>
      <c r="E86" s="27" t="inlineStr">
        <is>
          <t>1 (Single)</t>
        </is>
      </c>
      <c r="F86" s="34" t="n">
        <v>0.9</v>
      </c>
      <c r="G86" s="35">
        <f>ROUND('Setup &amp; Dashboard'!$E$8*0.9/5, 0)*5</f>
        <v/>
      </c>
      <c r="H86" s="31" t="inlineStr"/>
      <c r="I86" s="42" t="inlineStr">
        <is>
          <t>Opener ~90%, Second: small jump, Third: PR attempt</t>
        </is>
      </c>
      <c r="J86" s="12" t="inlineStr"/>
      <c r="K86" s="8" t="inlineStr"/>
      <c r="L86" s="12" t="inlineStr"/>
    </row>
    <row r="87"/>
    <row r="88" ht="22" customHeight="1">
      <c r="A88" s="51" t="inlineStr">
        <is>
          <t>Day 3 : Day C — Squat PR (After 1 Rest Day)</t>
        </is>
      </c>
    </row>
    <row r="89" ht="48" customHeight="1">
      <c r="A89" s="52" t="inlineStr">
        <is>
          <t>💡 Coaching Rationale: Placed with a rest day of separation from bench, giving each lift its own attempt day rather than testing multiple lifts in one session, which is how fatigue from an early attempt quietly costs you a later one.</t>
        </is>
      </c>
    </row>
    <row r="90" ht="22" customHeight="1">
      <c r="A90" s="53" t="inlineStr">
        <is>
          <t>#</t>
        </is>
      </c>
      <c r="B90" s="53" t="inlineStr">
        <is>
          <t>Exercise</t>
        </is>
      </c>
      <c r="C90" s="53" t="inlineStr">
        <is>
          <t>Type</t>
        </is>
      </c>
      <c r="D90" s="53" t="inlineStr">
        <is>
          <t>Sets</t>
        </is>
      </c>
      <c r="E90" s="53" t="inlineStr">
        <is>
          <t>Reps</t>
        </is>
      </c>
      <c r="F90" s="53" t="inlineStr">
        <is>
          <t>% TM</t>
        </is>
      </c>
      <c r="G90" s="53" t="inlineStr">
        <is>
          <t>Prescribed Weight</t>
        </is>
      </c>
      <c r="H90" s="53" t="inlineStr">
        <is>
          <t>Target RPE</t>
        </is>
      </c>
      <c r="I90" s="53" t="inlineStr">
        <is>
          <t>Prescription Notes</t>
        </is>
      </c>
      <c r="J90" s="53" t="inlineStr">
        <is>
          <t>Actual Weight</t>
        </is>
      </c>
      <c r="K90" s="53" t="inlineStr">
        <is>
          <t>Actual Reps</t>
        </is>
      </c>
      <c r="L90" s="53" t="inlineStr">
        <is>
          <t>Done?</t>
        </is>
      </c>
    </row>
    <row r="91" ht="20" customHeight="1">
      <c r="A91" s="31" t="n">
        <v>1</v>
      </c>
      <c r="B91" s="32" t="inlineStr">
        <is>
          <t>Squat Opener</t>
        </is>
      </c>
      <c r="C91" s="54" t="inlineStr">
        <is>
          <t>MAIN</t>
        </is>
      </c>
      <c r="D91" s="27" t="inlineStr">
        <is>
          <t>3 Attempts</t>
        </is>
      </c>
      <c r="E91" s="27" t="inlineStr">
        <is>
          <t>1 (Single)</t>
        </is>
      </c>
      <c r="F91" s="34" t="n">
        <v>0.9</v>
      </c>
      <c r="G91" s="35">
        <f>ROUND('Setup &amp; Dashboard'!$E$7*0.9/5, 0)*5</f>
        <v/>
      </c>
      <c r="H91" s="31" t="inlineStr"/>
      <c r="I91" s="42" t="inlineStr">
        <is>
          <t>Opener ~90%, Second: small jump, Third: PR attempt</t>
        </is>
      </c>
      <c r="J91" s="12" t="inlineStr"/>
      <c r="K91" s="8" t="inlineStr"/>
      <c r="L91" s="12" t="inlineStr"/>
    </row>
    <row r="92"/>
    <row r="93" ht="22" customHeight="1">
      <c r="A93" s="51" t="inlineStr">
        <is>
          <t>Day 4 : Day D — Deadlift PR (After 2 Rest Days)</t>
        </is>
      </c>
    </row>
    <row r="94" ht="32" customHeight="1">
      <c r="A94" s="52" t="inlineStr">
        <is>
          <t>💡 Coaching Rationale: Given two full rest days beforehand — deadlift needs the most recovery of any lift in this program, and this is the day that recovery debt gets paid down before asking for a max effort.</t>
        </is>
      </c>
    </row>
    <row r="95" ht="22" customHeight="1">
      <c r="A95" s="53" t="inlineStr">
        <is>
          <t>#</t>
        </is>
      </c>
      <c r="B95" s="53" t="inlineStr">
        <is>
          <t>Exercise</t>
        </is>
      </c>
      <c r="C95" s="53" t="inlineStr">
        <is>
          <t>Type</t>
        </is>
      </c>
      <c r="D95" s="53" t="inlineStr">
        <is>
          <t>Sets</t>
        </is>
      </c>
      <c r="E95" s="53" t="inlineStr">
        <is>
          <t>Reps</t>
        </is>
      </c>
      <c r="F95" s="53" t="inlineStr">
        <is>
          <t>% TM</t>
        </is>
      </c>
      <c r="G95" s="53" t="inlineStr">
        <is>
          <t>Prescribed Weight</t>
        </is>
      </c>
      <c r="H95" s="53" t="inlineStr">
        <is>
          <t>Target RPE</t>
        </is>
      </c>
      <c r="I95" s="53" t="inlineStr">
        <is>
          <t>Prescription Notes</t>
        </is>
      </c>
      <c r="J95" s="53" t="inlineStr">
        <is>
          <t>Actual Weight</t>
        </is>
      </c>
      <c r="K95" s="53" t="inlineStr">
        <is>
          <t>Actual Reps</t>
        </is>
      </c>
      <c r="L95" s="53" t="inlineStr">
        <is>
          <t>Done?</t>
        </is>
      </c>
    </row>
    <row r="96" ht="20" customHeight="1">
      <c r="A96" s="31" t="n">
        <v>1</v>
      </c>
      <c r="B96" s="32" t="inlineStr">
        <is>
          <t>Deadlift Opener</t>
        </is>
      </c>
      <c r="C96" s="54" t="inlineStr">
        <is>
          <t>MAIN</t>
        </is>
      </c>
      <c r="D96" s="27" t="inlineStr">
        <is>
          <t>3 Attempts</t>
        </is>
      </c>
      <c r="E96" s="27" t="inlineStr">
        <is>
          <t>1 (Single)</t>
        </is>
      </c>
      <c r="F96" s="34" t="n">
        <v>0.9</v>
      </c>
      <c r="G96" s="35">
        <f>ROUND('Setup &amp; Dashboard'!$E$9*0.9/5, 0)*5</f>
        <v/>
      </c>
      <c r="H96" s="31" t="inlineStr"/>
      <c r="I96" s="42" t="inlineStr">
        <is>
          <t>Opener ~90%, Second: small jump, Third: PR attempt</t>
        </is>
      </c>
      <c r="J96" s="12" t="inlineStr"/>
      <c r="K96" s="8" t="inlineStr"/>
      <c r="L96" s="12" t="inlineStr"/>
    </row>
    <row r="97"/>
    <row r="98" ht="22" customHeight="1">
      <c r="A98" s="51" t="inlineStr">
        <is>
          <t>Day 5 : Day E — Rack Pull PR (After 2 Rest Days)</t>
        </is>
      </c>
    </row>
    <row r="99" ht="64" customHeight="1">
      <c r="A99" s="52" t="inlineStr">
        <is>
          <t>💡 Coaching Rationale: The last attempt in the program, and now separated from deadlift by two rest days instead of sitting on the very next training day as in the original layout. This single change — spacing the two pulling lifts apart — is the difference between rack pull's number reflecting your actual strength versus reflecting how tired your back was three days into a testing block.</t>
        </is>
      </c>
    </row>
    <row r="100" ht="22" customHeight="1">
      <c r="A100" s="53" t="inlineStr">
        <is>
          <t>#</t>
        </is>
      </c>
      <c r="B100" s="53" t="inlineStr">
        <is>
          <t>Exercise</t>
        </is>
      </c>
      <c r="C100" s="53" t="inlineStr">
        <is>
          <t>Type</t>
        </is>
      </c>
      <c r="D100" s="53" t="inlineStr">
        <is>
          <t>Sets</t>
        </is>
      </c>
      <c r="E100" s="53" t="inlineStr">
        <is>
          <t>Reps</t>
        </is>
      </c>
      <c r="F100" s="53" t="inlineStr">
        <is>
          <t>% TM</t>
        </is>
      </c>
      <c r="G100" s="53" t="inlineStr">
        <is>
          <t>Prescribed Weight</t>
        </is>
      </c>
      <c r="H100" s="53" t="inlineStr">
        <is>
          <t>Target RPE</t>
        </is>
      </c>
      <c r="I100" s="53" t="inlineStr">
        <is>
          <t>Prescription Notes</t>
        </is>
      </c>
      <c r="J100" s="53" t="inlineStr">
        <is>
          <t>Actual Weight</t>
        </is>
      </c>
      <c r="K100" s="53" t="inlineStr">
        <is>
          <t>Actual Reps</t>
        </is>
      </c>
      <c r="L100" s="53" t="inlineStr">
        <is>
          <t>Done?</t>
        </is>
      </c>
    </row>
    <row r="101" ht="20" customHeight="1">
      <c r="A101" s="31" t="n">
        <v>1</v>
      </c>
      <c r="B101" s="32" t="inlineStr">
        <is>
          <t>Rack Pull Opener</t>
        </is>
      </c>
      <c r="C101" s="54" t="inlineStr">
        <is>
          <t>MAIN</t>
        </is>
      </c>
      <c r="D101" s="27" t="inlineStr">
        <is>
          <t>2 Attempts</t>
        </is>
      </c>
      <c r="E101" s="27" t="inlineStr">
        <is>
          <t>1 (Single)</t>
        </is>
      </c>
      <c r="F101" s="34" t="n">
        <v>0.9</v>
      </c>
      <c r="G101" s="35">
        <f>ROUND('Setup &amp; Dashboard'!$E$10*0.9/5, 0)*5</f>
        <v/>
      </c>
      <c r="H101" s="31" t="inlineStr"/>
      <c r="I101" s="42" t="inlineStr">
        <is>
          <t>Opener ~90%, Second: PR attempt</t>
        </is>
      </c>
      <c r="J101" s="12" t="inlineStr"/>
      <c r="K101" s="8" t="inlineStr"/>
      <c r="L101" s="12" t="inlineStr"/>
    </row>
  </sheetData>
  <mergeCells count="35">
    <mergeCell ref="A78:L78"/>
    <mergeCell ref="A25:L25"/>
    <mergeCell ref="A41:L41"/>
    <mergeCell ref="A99:L99"/>
    <mergeCell ref="A84:L84"/>
    <mergeCell ref="A89:L89"/>
    <mergeCell ref="A56:L56"/>
    <mergeCell ref="A55:L55"/>
    <mergeCell ref="A12:L12"/>
    <mergeCell ref="A26:L26"/>
    <mergeCell ref="A2:L2"/>
    <mergeCell ref="A42:L42"/>
    <mergeCell ref="A76:L76"/>
    <mergeCell ref="A33:L33"/>
    <mergeCell ref="A5:L5"/>
    <mergeCell ref="A4:L4"/>
    <mergeCell ref="A62:L62"/>
    <mergeCell ref="A20:L20"/>
    <mergeCell ref="A43:L43"/>
    <mergeCell ref="A19:L19"/>
    <mergeCell ref="A68:L68"/>
    <mergeCell ref="A93:L93"/>
    <mergeCell ref="A13:L13"/>
    <mergeCell ref="A77:L77"/>
    <mergeCell ref="A34:L34"/>
    <mergeCell ref="A83:L83"/>
    <mergeCell ref="A48:L48"/>
    <mergeCell ref="A98:L98"/>
    <mergeCell ref="A49:L49"/>
    <mergeCell ref="A1:L1"/>
    <mergeCell ref="A94:L94"/>
    <mergeCell ref="A61:L61"/>
    <mergeCell ref="A6:L6"/>
    <mergeCell ref="A88:L88"/>
    <mergeCell ref="A69:L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showGridLines="1" workbookViewId="0">
      <selection activeCell="A1" sqref="A1"/>
    </sheetView>
  </sheetViews>
  <sheetFormatPr baseColWidth="8" defaultRowHeight="15"/>
  <cols>
    <col width="16" customWidth="1" min="1" max="1"/>
    <col width="35" customWidth="1" min="2" max="2"/>
    <col width="19" customWidth="1" min="3" max="3"/>
    <col width="47" customWidth="1" min="4" max="4"/>
    <col width="48" customWidth="1" min="5" max="5"/>
    <col width="48" customWidth="1" min="6" max="6"/>
    <col width="29" customWidth="1" min="7" max="7"/>
    <col width="25" customWidth="1" min="8" max="8"/>
    <col width="74" customWidth="1" min="9" max="9"/>
    <col width="19" customWidth="1" min="10" max="10"/>
  </cols>
  <sheetData>
    <row r="1" ht="30" customHeight="1">
      <c r="A1" s="1" t="inlineStr">
        <is>
          <t>CHIKO_LIFTS : WEEK 13 PR TESTING WINDOW &amp; ATTEMPT SELECTOR</t>
        </is>
      </c>
    </row>
    <row r="2" ht="20" customHeight="1">
      <c r="A2" s="26" t="inlineStr">
        <is>
          <t>Strategic 5-Day Testing Architecture — Structured Rest Intervals &amp; Calculated 3-Attempt Progression</t>
        </is>
      </c>
    </row>
    <row r="3"/>
    <row r="4">
      <c r="A4" s="3" t="inlineStr">
        <is>
          <t>TESTING RULES &amp; ATTEMPT STRATEGY</t>
        </is>
      </c>
    </row>
    <row r="5" ht="36" customHeight="1">
      <c r="A5" s="11" t="inlineStr">
        <is>
          <t>• Separation Rule: Never test multiple max lifts on consecutive days. Bench tested first (fastest recovery), followed by 1 rest day before Squat, 2 rest days before Deadlift, and 2 rest days before Rack Pull.
• Opener (~90% TM): Must be a weight you can triple on your worst day. Serves as confidence builder and ensures a solid number on the board.
• 2nd Attempt (~100% TM / previous 1RM): A smooth, aggressive attempt to equal or slightly top your old best.
• 3rd Attempt (PR Target): Based on how fast Attempt 2 moved. Jump 5-15 lbs to set your brand new all-time Personal Record.</t>
        </is>
      </c>
    </row>
    <row r="6" ht="36" customHeight="1"/>
    <row r="7"/>
    <row r="8" ht="26" customHeight="1">
      <c r="A8" s="4" t="inlineStr">
        <is>
          <t>Test Day</t>
        </is>
      </c>
      <c r="B8" s="4" t="inlineStr">
        <is>
          <t>Lift Scheduled</t>
        </is>
      </c>
      <c r="C8" s="4" t="inlineStr">
        <is>
          <t>Rest Prior</t>
        </is>
      </c>
      <c r="D8" s="4" t="inlineStr">
        <is>
          <t>Opener (90% TM)</t>
        </is>
      </c>
      <c r="E8" s="4" t="inlineStr">
        <is>
          <t>Attempt 2 Target</t>
        </is>
      </c>
      <c r="F8" s="4" t="inlineStr">
        <is>
          <t>Attempt 3 (PR Target)</t>
        </is>
      </c>
      <c r="G8" s="4" t="inlineStr">
        <is>
          <t>Warm-up Primer</t>
        </is>
      </c>
      <c r="H8" s="4" t="inlineStr">
        <is>
          <t>Plate Loading (Opener)</t>
        </is>
      </c>
      <c r="I8" s="4" t="inlineStr">
        <is>
          <t>Coaching Strategy &amp; Notes</t>
        </is>
      </c>
      <c r="J8" s="4" t="inlineStr">
        <is>
          <t>Actual PR Result</t>
        </is>
      </c>
    </row>
    <row r="9" ht="28" customHeight="1">
      <c r="A9" s="12" t="inlineStr">
        <is>
          <t>Day 1 (Day A)</t>
        </is>
      </c>
      <c r="B9" s="63" t="inlineStr">
        <is>
          <t>Light Activation (Squat + Bench)</t>
        </is>
      </c>
      <c r="C9" s="15" t="inlineStr">
        <is>
          <t>Follows Taper</t>
        </is>
      </c>
      <c r="D9" s="9">
        <f>ROUND('Setup &amp; Dashboard'!$E$7*0.5/5, 0)*5</f>
        <v/>
      </c>
      <c r="E9" s="7">
        <f>ROUND('Setup &amp; Dashboard'!$E$8*0.5/5, 0)*5</f>
        <v/>
      </c>
      <c r="F9" s="64" t="inlineStr">
        <is>
          <t>-</t>
        </is>
      </c>
      <c r="G9" s="14" t="inlineStr">
        <is>
          <t>Bar x 10, 50% 2x3</t>
        </is>
      </c>
      <c r="H9" s="15" t="inlineStr">
        <is>
          <t>N/A</t>
        </is>
      </c>
      <c r="I9" s="25" t="inlineStr">
        <is>
          <t>Neural priming only. Move crisp and fast. Zero fatigue.</t>
        </is>
      </c>
      <c r="J9" s="12" t="inlineStr">
        <is>
          <t>Ready</t>
        </is>
      </c>
    </row>
    <row r="10" ht="28" customHeight="1">
      <c r="A10" s="12" t="inlineStr">
        <is>
          <t>Day 2 (Day B)</t>
        </is>
      </c>
      <c r="B10" s="63" t="inlineStr">
        <is>
          <t>Bench Press PR</t>
        </is>
      </c>
      <c r="C10" s="15" t="inlineStr">
        <is>
          <t>1 Rest Day</t>
        </is>
      </c>
      <c r="D10" s="9">
        <f>ROUND('Setup &amp; Dashboard'!$E$8*0.9/5, 0)*5</f>
        <v/>
      </c>
      <c r="E10" s="7">
        <f>ROUND('Setup &amp; Dashboard'!$C$8/5, 0)*5</f>
        <v/>
      </c>
      <c r="F10" s="65">
        <f>ROUND('Setup &amp; Dashboard'!$C$8*1.05/5, 0)*5</f>
        <v/>
      </c>
      <c r="G10" s="14" t="inlineStr">
        <is>
          <t>45x10, 95x5, 135x3, 185x1</t>
        </is>
      </c>
      <c r="H10" s="15" t="inlineStr">
        <is>
          <t>45 + plates / side</t>
        </is>
      </c>
      <c r="I10" s="25" t="inlineStr">
        <is>
          <t>Bench recovers fastest. Hit opener, take small jump, then attack PR.</t>
        </is>
      </c>
      <c r="J10" s="12" t="inlineStr"/>
    </row>
    <row r="11" ht="28" customHeight="1">
      <c r="A11" s="12" t="inlineStr">
        <is>
          <t>Day 3 (Day C)</t>
        </is>
      </c>
      <c r="B11" s="63" t="inlineStr">
        <is>
          <t>Back Squat PR</t>
        </is>
      </c>
      <c r="C11" s="15" t="inlineStr">
        <is>
          <t>1 Rest Day</t>
        </is>
      </c>
      <c r="D11" s="9">
        <f>ROUND('Setup &amp; Dashboard'!$E$7*0.9/5, 0)*5</f>
        <v/>
      </c>
      <c r="E11" s="7">
        <f>ROUND('Setup &amp; Dashboard'!$C$7/5, 0)*5</f>
        <v/>
      </c>
      <c r="F11" s="65">
        <f>ROUND('Setup &amp; Dashboard'!$C$7*1.05/5, 0)*5</f>
        <v/>
      </c>
      <c r="G11" s="14" t="inlineStr">
        <is>
          <t>45x10, 135x5, 225x3, 275x1</t>
        </is>
      </c>
      <c r="H11" s="15" t="inlineStr">
        <is>
          <t>45 + plates / side</t>
        </is>
      </c>
      <c r="I11" s="25" t="inlineStr">
        <is>
          <t>Opener will feel light if taper was respected. Stay tight in hole.</t>
        </is>
      </c>
      <c r="J11" s="12" t="inlineStr"/>
    </row>
    <row r="12" ht="28" customHeight="1">
      <c r="A12" s="12" t="inlineStr">
        <is>
          <t>Day 4 (Day D)</t>
        </is>
      </c>
      <c r="B12" s="63" t="inlineStr">
        <is>
          <t>Deadlift PR</t>
        </is>
      </c>
      <c r="C12" s="15" t="inlineStr">
        <is>
          <t>2 Full Rest Days</t>
        </is>
      </c>
      <c r="D12" s="9">
        <f>ROUND('Setup &amp; Dashboard'!$E$9*0.9/5, 0)*5</f>
        <v/>
      </c>
      <c r="E12" s="7">
        <f>ROUND('Setup &amp; Dashboard'!$C$9/5, 0)*5</f>
        <v/>
      </c>
      <c r="F12" s="65">
        <f>ROUND('Setup &amp; Dashboard'!$C$9*1.05/5, 0)*5</f>
        <v/>
      </c>
      <c r="G12" s="14" t="inlineStr">
        <is>
          <t>135x5, 225x3, 315x1, 350x1</t>
        </is>
      </c>
      <c r="H12" s="15" t="inlineStr">
        <is>
          <t>45 + plates / side</t>
        </is>
      </c>
      <c r="I12" s="25" t="inlineStr">
        <is>
          <t>Two full rest days pay down spinal fatigue. Lock lats, push floor away.</t>
        </is>
      </c>
      <c r="J12" s="12" t="inlineStr"/>
    </row>
    <row r="13" ht="28" customHeight="1">
      <c r="A13" s="12" t="inlineStr">
        <is>
          <t>Day 5 (Day E)</t>
        </is>
      </c>
      <c r="B13" s="63" t="inlineStr">
        <is>
          <t>Rack Pull PR</t>
        </is>
      </c>
      <c r="C13" s="15" t="inlineStr">
        <is>
          <t>2 Full Rest Days</t>
        </is>
      </c>
      <c r="D13" s="9">
        <f>ROUND('Setup &amp; Dashboard'!$E$10*0.9/5, 0)*5</f>
        <v/>
      </c>
      <c r="E13" s="7">
        <f>ROUND('Setup &amp; Dashboard'!$E$10*1.03/5, 0)*5</f>
        <v/>
      </c>
      <c r="F13" s="65">
        <f>ROUND('Setup &amp; Dashboard'!$E$10*1.06/5, 0)*5</f>
        <v/>
      </c>
      <c r="G13" s="14" t="inlineStr">
        <is>
          <t>135x5, 225x3, 315x2, 405x1</t>
        </is>
      </c>
      <c r="H13" s="15" t="inlineStr">
        <is>
          <t>45 + plates / side</t>
        </is>
      </c>
      <c r="I13" s="25" t="inlineStr">
        <is>
          <t>Separated by 2 full rest days from DL. Test mid-shin starting strength.</t>
        </is>
      </c>
      <c r="J13" s="12" t="inlineStr"/>
    </row>
  </sheetData>
  <mergeCells count="4">
    <mergeCell ref="A1:J1"/>
    <mergeCell ref="A4:J4"/>
    <mergeCell ref="A5:J6"/>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8"/>
  <sheetViews>
    <sheetView showGridLines="1" workbookViewId="0">
      <pane ySplit="3" topLeftCell="A4" activePane="bottomLeft" state="frozen"/>
      <selection pane="bottomLeft" activeCell="A1" sqref="A1"/>
    </sheetView>
  </sheetViews>
  <sheetFormatPr baseColWidth="8" defaultRowHeight="15"/>
  <cols>
    <col width="8" customWidth="1" min="1" max="1"/>
    <col width="25" customWidth="1" min="2" max="2"/>
    <col width="8" customWidth="1" min="3" max="3"/>
    <col width="43" customWidth="1" min="4" max="4"/>
    <col width="41" customWidth="1" min="5" max="5"/>
    <col width="35" customWidth="1" min="6" max="6"/>
    <col width="425" customWidth="1" min="7" max="7"/>
  </cols>
  <sheetData>
    <row r="1" ht="30" customHeight="1">
      <c r="A1" s="1" t="inlineStr">
        <is>
          <t>CHIKO_LIFTS : COMPLETE COACHING COMPENDIUM &amp; SESSION RATIONALE</t>
        </is>
      </c>
    </row>
    <row r="2" ht="20" customHeight="1">
      <c r="A2" s="26" t="inlineStr">
        <is>
          <t>The Biomechanical &amp; Periodization Logic Behind Every Single Day of the 13-Week System</t>
        </is>
      </c>
    </row>
    <row r="3" ht="26" customHeight="1">
      <c r="A3" s="4" t="inlineStr">
        <is>
          <t>Week</t>
        </is>
      </c>
      <c r="B3" s="4" t="inlineStr">
        <is>
          <t>Phase</t>
        </is>
      </c>
      <c r="C3" s="4" t="inlineStr">
        <is>
          <t>Day #</t>
        </is>
      </c>
      <c r="D3" s="4" t="inlineStr">
        <is>
          <t>Day Label / Focus</t>
        </is>
      </c>
      <c r="E3" s="4" t="inlineStr">
        <is>
          <t>Primary Lifts Programmed</t>
        </is>
      </c>
      <c r="F3" s="4" t="inlineStr">
        <is>
          <t>Session Fatigue Profile</t>
        </is>
      </c>
      <c r="G3" s="4" t="inlineStr">
        <is>
          <t>Detailed Coaching Rationale &amp; Programming Architecture</t>
        </is>
      </c>
    </row>
    <row r="4" ht="64" customHeight="1">
      <c r="A4" s="27" t="n">
        <v>1</v>
      </c>
      <c r="B4" s="28" t="inlineStr">
        <is>
          <t>Accumulation</t>
        </is>
      </c>
      <c r="C4" s="29" t="n">
        <v>1</v>
      </c>
      <c r="D4" s="66" t="inlineStr">
        <is>
          <t>Monday — Squat</t>
        </is>
      </c>
      <c r="E4" s="30" t="inlineStr">
        <is>
          <t>Back squat</t>
        </is>
      </c>
      <c r="F4" s="31" t="inlineStr">
        <is>
          <t>Moderate (Systemic Loading)</t>
        </is>
      </c>
      <c r="G4" s="30" t="inlineStr">
        <is>
          <t>Opens the cycle at 70% TM for 4x4, a volume/intensity combo you should be able to execute well short of failure. The job this week isn't to push RPE, it's to groove the pattern under load and establish a baseline your body can build on. Split squats and leg curls target the unilateral stability and hamstring strength that heavier squats will demand later.</t>
        </is>
      </c>
    </row>
    <row r="5" ht="64" customHeight="1">
      <c r="A5" s="37" t="n">
        <v>1</v>
      </c>
      <c r="B5" s="28" t="inlineStr">
        <is>
          <t>Accumulation</t>
        </is>
      </c>
      <c r="C5" s="38" t="n">
        <v>2</v>
      </c>
      <c r="D5" s="67" t="inlineStr">
        <is>
          <t>Tuesday — Bench</t>
        </is>
      </c>
      <c r="E5" s="39" t="inlineStr">
        <is>
          <t>Bench press</t>
        </is>
      </c>
      <c r="F5" s="40" t="inlineStr">
        <is>
          <t>Moderate (Systemic Loading)</t>
        </is>
      </c>
      <c r="G5" s="30" t="inlineStr">
        <is>
          <t>Mirrors Day 1's approach at the same 70% TM. Close-grip bench and triceps work start building the lockout strength you won't need yet but will in Weeks 8-12. Face pulls are prophylactic — they keep the rear delts/rotator cuff balanced against all the pressing volume before it accumulates.</t>
        </is>
      </c>
    </row>
    <row r="6" ht="80" customHeight="1">
      <c r="A6" s="27" t="n">
        <v>1</v>
      </c>
      <c r="B6" s="28" t="inlineStr">
        <is>
          <t>Accumulation</t>
        </is>
      </c>
      <c r="C6" s="29" t="n">
        <v>3</v>
      </c>
      <c r="D6" s="66" t="inlineStr">
        <is>
          <t>Thursday — Deadlift</t>
        </is>
      </c>
      <c r="E6" s="30" t="inlineStr">
        <is>
          <t>Deadlift</t>
        </is>
      </c>
      <c r="F6" s="31" t="inlineStr">
        <is>
          <t>Moderate (Systemic Loading)</t>
        </is>
      </c>
      <c r="G6" s="30" t="inlineStr">
        <is>
          <t>Deliberately the lightest relative-intensity day of the week (68% TM) because deadlift is the most fatigue-expensive lift you do — a 'moderate' deadlift session costs more recovery than a moderate squat or bench session. Paused deadlift and farmer's carries add extra pulling volume without loading the bar as heavy as the main lift, which is how you build deadlift work capacity without digging a hole this early.</t>
        </is>
      </c>
    </row>
    <row r="7" ht="64" customHeight="1">
      <c r="A7" s="37" t="n">
        <v>1</v>
      </c>
      <c r="B7" s="28" t="inlineStr">
        <is>
          <t>Accumulation</t>
        </is>
      </c>
      <c r="C7" s="38" t="n">
        <v>4</v>
      </c>
      <c r="D7" s="67" t="inlineStr">
        <is>
          <t>Friday — Bench variant / upper body</t>
        </is>
      </c>
      <c r="E7" s="39" t="inlineStr">
        <is>
          <t>Tempo bench (3-1-1)</t>
        </is>
      </c>
      <c r="F7" s="40" t="inlineStr">
        <is>
          <t>Moderate (Systemic Loading)</t>
        </is>
      </c>
      <c r="G7" s="30" t="inlineStr">
        <is>
          <t>This is a bench frequency day, not a second heavy bench day — the 3-1-1 tempo at 65% keeps intensity low while reinforcing bar path and control. The real work here is the back: rows and pulldowns build the upper-back tightness that stabilizes heavy bench press later, and this is the best week to start that development, before fatigue accumulates.</t>
        </is>
      </c>
    </row>
    <row r="8" ht="64" customHeight="1">
      <c r="A8" s="27" t="n">
        <v>1</v>
      </c>
      <c r="B8" s="28" t="inlineStr">
        <is>
          <t>Accumulation</t>
        </is>
      </c>
      <c r="C8" s="29" t="n">
        <v>5</v>
      </c>
      <c r="D8" s="66" t="inlineStr">
        <is>
          <t>Saturday — Squat variant + Rack Pull</t>
        </is>
      </c>
      <c r="E8" s="30" t="inlineStr">
        <is>
          <t>Paused squat / Rack pull baseline test</t>
        </is>
      </c>
      <c r="F8" s="31" t="inlineStr">
        <is>
          <t>Moderate (Systemic Loading)</t>
        </is>
      </c>
      <c r="G8" s="30" t="inlineStr">
        <is>
          <t>Paused squat adds positional strength work for the bottom of the squat. The rack pull test (working up to a clean RPE 8 top set) exists to establish your actual starting point for rack pull TM — everything for the next 12 weeks on that lift is calibrated off today's number, so treat it seriously but don't grind past RPE 8.</t>
        </is>
      </c>
    </row>
    <row r="9" ht="48" customHeight="1">
      <c r="A9" s="37" t="n">
        <v>2</v>
      </c>
      <c r="B9" s="28" t="inlineStr">
        <is>
          <t>Accumulation</t>
        </is>
      </c>
      <c r="C9" s="38" t="n">
        <v>1</v>
      </c>
      <c r="D9" s="67" t="inlineStr">
        <is>
          <t>Monday — Squat</t>
        </is>
      </c>
      <c r="E9" s="39" t="inlineStr">
        <is>
          <t>Back squat</t>
        </is>
      </c>
      <c r="F9" s="40" t="inlineStr">
        <is>
          <t>Moderate (Systemic Loading)</t>
        </is>
      </c>
      <c r="G9" s="30" t="inlineStr">
        <is>
          <t>Same structure as Week 1, one set added (5x4) and intensity up 3% (73%). This is the standard accumulation progression — small, repeatable jumps that let you accumulate quality reps without a spike in fatigue.</t>
        </is>
      </c>
    </row>
    <row r="10" ht="32" customHeight="1">
      <c r="A10" s="27" t="n">
        <v>2</v>
      </c>
      <c r="B10" s="28" t="inlineStr">
        <is>
          <t>Accumulation</t>
        </is>
      </c>
      <c r="C10" s="29" t="n">
        <v>2</v>
      </c>
      <c r="D10" s="66" t="inlineStr">
        <is>
          <t>Tuesday — Bench</t>
        </is>
      </c>
      <c r="E10" s="30" t="inlineStr">
        <is>
          <t>Bench press</t>
        </is>
      </c>
      <c r="F10" s="31" t="inlineStr">
        <is>
          <t>Moderate (Systemic Loading)</t>
        </is>
      </c>
      <c r="G10" s="30" t="inlineStr">
        <is>
          <t>Same logic as Day 1 — one more set, 3% more load. You should still be finishing sets with 2-3 reps in reserve.</t>
        </is>
      </c>
    </row>
    <row r="11" ht="64" customHeight="1">
      <c r="A11" s="37" t="n">
        <v>2</v>
      </c>
      <c r="B11" s="28" t="inlineStr">
        <is>
          <t>Accumulation</t>
        </is>
      </c>
      <c r="C11" s="38" t="n">
        <v>3</v>
      </c>
      <c r="D11" s="67" t="inlineStr">
        <is>
          <t>Thursday — Deadlift</t>
        </is>
      </c>
      <c r="E11" s="39" t="inlineStr">
        <is>
          <t>Deadlift</t>
        </is>
      </c>
      <c r="F11" s="40" t="inlineStr">
        <is>
          <t>Moderate (Systemic Loading)</t>
        </is>
      </c>
      <c r="G11" s="30" t="inlineStr">
        <is>
          <t>Load moves to 72%, still 3 sets — deadlift is the one lift that doesn't get a set added here, because the fatigue cost per set is steep enough that stacking volume too fast is how deadlift-specific overreach happens. Paused deadlift intensity ticks up slightly to keep pace.</t>
        </is>
      </c>
    </row>
    <row r="12" ht="48" customHeight="1">
      <c r="A12" s="27" t="n">
        <v>2</v>
      </c>
      <c r="B12" s="28" t="inlineStr">
        <is>
          <t>Accumulation</t>
        </is>
      </c>
      <c r="C12" s="29" t="n">
        <v>4</v>
      </c>
      <c r="D12" s="66" t="inlineStr">
        <is>
          <t>Friday — Bench variant / upper body</t>
        </is>
      </c>
      <c r="E12" s="30" t="inlineStr">
        <is>
          <t>Paused bench</t>
        </is>
      </c>
      <c r="F12" s="31" t="inlineStr">
        <is>
          <t>Moderate (Systemic Loading)</t>
        </is>
      </c>
      <c r="G12" s="30" t="inlineStr">
        <is>
          <t>Paused bench replaces tempo bench as the frequency movement — it's a different stimulus (dead-stop strength off the chest) at the same intensity, which keeps this day from getting stale while still serving as a lower-stress second bench touch.</t>
        </is>
      </c>
    </row>
    <row r="13" ht="64" customHeight="1">
      <c r="A13" s="37" t="n">
        <v>2</v>
      </c>
      <c r="B13" s="28" t="inlineStr">
        <is>
          <t>Accumulation</t>
        </is>
      </c>
      <c r="C13" s="38" t="n">
        <v>5</v>
      </c>
      <c r="D13" s="67" t="inlineStr">
        <is>
          <t>Saturday — Squat variant + Rack Pull</t>
        </is>
      </c>
      <c r="E13" s="39" t="inlineStr">
        <is>
          <t>High bar squat / Rack pull</t>
        </is>
      </c>
      <c r="F13" s="40" t="inlineStr">
        <is>
          <t>Moderate (Systemic Loading)</t>
        </is>
      </c>
      <c r="G13" s="30" t="inlineStr">
        <is>
          <t>High bar squat at low intensity (65%) is a variation day — more quad emphasis, more upright torso, which builds a different piece of the squat than the low-bar/competition-style work on Day 1. Rack pull moves from a one-off test to real programmed work: 4x4 at 70%, mirroring the same volume approach as squat and bench.</t>
        </is>
      </c>
    </row>
    <row r="14" ht="48" customHeight="1">
      <c r="A14" s="27" t="n">
        <v>3</v>
      </c>
      <c r="B14" s="28" t="inlineStr">
        <is>
          <t>Accumulation</t>
        </is>
      </c>
      <c r="C14" s="29" t="n">
        <v>1</v>
      </c>
      <c r="D14" s="66" t="inlineStr">
        <is>
          <t>Monday — Squat</t>
        </is>
      </c>
      <c r="E14" s="30" t="inlineStr">
        <is>
          <t>Squat</t>
        </is>
      </c>
      <c r="F14" s="31" t="inlineStr">
        <is>
          <t>Moderate (Systemic Loading)</t>
        </is>
      </c>
      <c r="G14" s="30" t="inlineStr">
        <is>
          <t>Sets climb to 6x3 while reps per set drop — this is the volume peak of the block starting to show. Total load lifted keeps rising even though reps-per-set fall, which is how accumulation blocks build work capacity without needing RPE to spike.</t>
        </is>
      </c>
    </row>
    <row r="15" ht="32" customHeight="1">
      <c r="A15" s="37" t="n">
        <v>3</v>
      </c>
      <c r="B15" s="28" t="inlineStr">
        <is>
          <t>Accumulation</t>
        </is>
      </c>
      <c r="C15" s="38" t="n">
        <v>2</v>
      </c>
      <c r="D15" s="67" t="inlineStr">
        <is>
          <t>Tuesday — Bench</t>
        </is>
      </c>
      <c r="E15" s="39" t="inlineStr">
        <is>
          <t>Bench</t>
        </is>
      </c>
      <c r="F15" s="40" t="inlineStr">
        <is>
          <t>Moderate (Systemic Loading)</t>
        </is>
      </c>
      <c r="G15" s="30" t="inlineStr">
        <is>
          <t>Same pattern as squat — more sets, fewer reps, intensity now at 76%. RPE creeping to 7-8 is expected and fine; this is still sub-maximal work.</t>
        </is>
      </c>
    </row>
    <row r="16" ht="48" customHeight="1">
      <c r="A16" s="27" t="n">
        <v>3</v>
      </c>
      <c r="B16" s="28" t="inlineStr">
        <is>
          <t>Accumulation</t>
        </is>
      </c>
      <c r="C16" s="29" t="n">
        <v>3</v>
      </c>
      <c r="D16" s="66" t="inlineStr">
        <is>
          <t>Thursday — Deadlift</t>
        </is>
      </c>
      <c r="E16" s="30" t="inlineStr">
        <is>
          <t>Deadlift</t>
        </is>
      </c>
      <c r="F16" s="31" t="inlineStr">
        <is>
          <t>Moderate (Systemic Loading)</t>
        </is>
      </c>
      <c r="G16" s="30" t="inlineStr">
        <is>
          <t>4x3 @ 76% — deadlift picks up a 4th set for the first time this cycle, timed for the middle of the block rather than the start, once your body has had two weeks to adapt to the lift's demands.</t>
        </is>
      </c>
    </row>
    <row r="17" ht="48" customHeight="1">
      <c r="A17" s="37" t="n">
        <v>3</v>
      </c>
      <c r="B17" s="28" t="inlineStr">
        <is>
          <t>Accumulation</t>
        </is>
      </c>
      <c r="C17" s="38" t="n">
        <v>4</v>
      </c>
      <c r="D17" s="67" t="inlineStr">
        <is>
          <t>Friday — Bench variant / upper body</t>
        </is>
      </c>
      <c r="E17" s="39" t="inlineStr">
        <is>
          <t>Spoto press</t>
        </is>
      </c>
      <c r="F17" s="40" t="inlineStr">
        <is>
          <t>Moderate (Systemic Loading)</t>
        </is>
      </c>
      <c r="G17" s="30" t="inlineStr">
        <is>
          <t>Spoto press (paused a few inches off the chest) targets the mid-range sticking point most lifters actually miss reps at — introducing it here, still light (60%), builds familiarity before it matters more in heavier weeks.</t>
        </is>
      </c>
    </row>
    <row r="18" ht="32" customHeight="1">
      <c r="A18" s="27" t="n">
        <v>3</v>
      </c>
      <c r="B18" s="28" t="inlineStr">
        <is>
          <t>Accumulation</t>
        </is>
      </c>
      <c r="C18" s="29" t="n">
        <v>5</v>
      </c>
      <c r="D18" s="66" t="inlineStr">
        <is>
          <t>Saturday — Squat variant + Rack Pull</t>
        </is>
      </c>
      <c r="E18" s="30" t="inlineStr">
        <is>
          <t>Tempo squat / Rack pull</t>
        </is>
      </c>
      <c r="F18" s="31" t="inlineStr">
        <is>
          <t>Moderate (Systemic Loading)</t>
        </is>
      </c>
      <c r="G18" s="30" t="inlineStr">
        <is>
          <t>Tempo squat stays light and technical. Rack pull jumps to 5x3 @ 74% — the volume peak for that lift this week, same logic as squat and bench getting their heaviest work here.</t>
        </is>
      </c>
    </row>
    <row r="19" ht="48" customHeight="1">
      <c r="A19" s="37" t="n">
        <v>4</v>
      </c>
      <c r="B19" s="44" t="inlineStr">
        <is>
          <t>Accumulation Peak</t>
        </is>
      </c>
      <c r="C19" s="38" t="n">
        <v>1</v>
      </c>
      <c r="D19" s="67" t="inlineStr">
        <is>
          <t>Monday — Squat</t>
        </is>
      </c>
      <c r="E19" s="39" t="inlineStr">
        <is>
          <t>Squat</t>
        </is>
      </c>
      <c r="F19" s="40" t="inlineStr">
        <is>
          <t>High (Supercompensation Trigger)</t>
        </is>
      </c>
      <c r="G19" s="30" t="inlineStr">
        <is>
          <t>6x3 @ 80% is the heaviest and most fatiguing squat session of the accumulation block — RPE 8 means you're finishing sets with genuine effort. This is the intended peak; next week is a deload specifically because this week is designed to leave you fatigued.</t>
        </is>
      </c>
    </row>
    <row r="20" ht="28" customHeight="1">
      <c r="A20" s="27" t="n">
        <v>4</v>
      </c>
      <c r="B20" s="44" t="inlineStr">
        <is>
          <t>Accumulation Peak</t>
        </is>
      </c>
      <c r="C20" s="29" t="n">
        <v>2</v>
      </c>
      <c r="D20" s="66" t="inlineStr">
        <is>
          <t>Tuesday — Bench</t>
        </is>
      </c>
      <c r="E20" s="30" t="inlineStr">
        <is>
          <t>Bench</t>
        </is>
      </c>
      <c r="F20" s="31" t="inlineStr">
        <is>
          <t>High (Supercompensation Trigger)</t>
        </is>
      </c>
      <c r="G20" s="30" t="inlineStr">
        <is>
          <t>Same role as Day 1 — heaviest bench day of the block, RPE 8, 80% TM.</t>
        </is>
      </c>
    </row>
    <row r="21" ht="64" customHeight="1">
      <c r="A21" s="37" t="n">
        <v>4</v>
      </c>
      <c r="B21" s="44" t="inlineStr">
        <is>
          <t>Accumulation Peak</t>
        </is>
      </c>
      <c r="C21" s="38" t="n">
        <v>3</v>
      </c>
      <c r="D21" s="67" t="inlineStr">
        <is>
          <t>Thursday — Deadlift</t>
        </is>
      </c>
      <c r="E21" s="39" t="inlineStr">
        <is>
          <t>Deadlift</t>
        </is>
      </c>
      <c r="F21" s="40" t="inlineStr">
        <is>
          <t>High (Supercompensation Trigger)</t>
        </is>
      </c>
      <c r="G21" s="30" t="inlineStr">
        <is>
          <t>4x3 @ 80% is the heaviest deadlift session of the block. Notice the paused deadlift accessory disappears this week — deliberately, so total lower-back/grip fatigue doesn't stack on top of the heaviest main-lift day. Farmer's carries stay in since grip needs continuous exposure, but everything else backs off to let the main lift carry the load.</t>
        </is>
      </c>
    </row>
    <row r="22" ht="48" customHeight="1">
      <c r="A22" s="27" t="n">
        <v>4</v>
      </c>
      <c r="B22" s="44" t="inlineStr">
        <is>
          <t>Accumulation Peak</t>
        </is>
      </c>
      <c r="C22" s="29" t="n">
        <v>4</v>
      </c>
      <c r="D22" s="66" t="inlineStr">
        <is>
          <t>Friday — Bench variant / upper body</t>
        </is>
      </c>
      <c r="E22" s="30" t="inlineStr">
        <is>
          <t>Tempo bench</t>
        </is>
      </c>
      <c r="F22" s="31" t="inlineStr">
        <is>
          <t>High (Supercompensation Trigger)</t>
        </is>
      </c>
      <c r="G22" s="30" t="inlineStr">
        <is>
          <t>Volume on the accessories actually drops slightly this week (rows, pulldowns) — a quiet signal that fatigue is accumulating across the week and this day should feel like recovery relative to Monday and Tuesday, not another hard push.</t>
        </is>
      </c>
    </row>
    <row r="23" ht="48" customHeight="1">
      <c r="A23" s="37" t="n">
        <v>4</v>
      </c>
      <c r="B23" s="44" t="inlineStr">
        <is>
          <t>Accumulation Peak</t>
        </is>
      </c>
      <c r="C23" s="38" t="n">
        <v>5</v>
      </c>
      <c r="D23" s="67" t="inlineStr">
        <is>
          <t>Saturday — Squat variant + Rack Pull</t>
        </is>
      </c>
      <c r="E23" s="39" t="inlineStr">
        <is>
          <t>Paused squat / Rack pull</t>
        </is>
      </c>
      <c r="F23" s="40" t="inlineStr">
        <is>
          <t>High (Supercompensation Trigger)</t>
        </is>
      </c>
      <c r="G23" s="30" t="inlineStr">
        <is>
          <t>Rack pull hits 5x3 @ 78%, its heaviest accumulation-block session. Coming the day after the week's other heavy work, this is the day fatigue is highest — RPE 8 here should feel harder than the same RPE 8 felt in Week 1.</t>
        </is>
      </c>
    </row>
    <row r="24" ht="64" customHeight="1">
      <c r="A24" s="27" t="n">
        <v>5</v>
      </c>
      <c r="B24" s="45" t="inlineStr">
        <is>
          <t>Deload</t>
        </is>
      </c>
      <c r="C24" s="29" t="n">
        <v>1</v>
      </c>
      <c r="D24" s="66" t="inlineStr">
        <is>
          <t>Monday — Squat</t>
        </is>
      </c>
      <c r="E24" s="30" t="inlineStr">
        <is>
          <t>Squat</t>
        </is>
      </c>
      <c r="F24" s="31" t="inlineStr">
        <is>
          <t>Low (Fatigue Dissipation)</t>
        </is>
      </c>
      <c r="G24" s="30" t="inlineStr">
        <is>
          <t>Everything drops to 60% TM, RPE 6. The point of this week isn't to train — it's to let the four weeks of accumulated fatigue actually dissipate so Week 6 starts from a rested state. Resist the urge to push harder than prescribed; undermining the deload undermines the whole next block.</t>
        </is>
      </c>
    </row>
    <row r="25" ht="28" customHeight="1">
      <c r="A25" s="37" t="n">
        <v>5</v>
      </c>
      <c r="B25" s="45" t="inlineStr">
        <is>
          <t>Deload</t>
        </is>
      </c>
      <c r="C25" s="38" t="n">
        <v>2</v>
      </c>
      <c r="D25" s="67" t="inlineStr">
        <is>
          <t>Tuesday — Bench</t>
        </is>
      </c>
      <c r="E25" s="39" t="inlineStr">
        <is>
          <t>Bench</t>
        </is>
      </c>
      <c r="F25" s="40" t="inlineStr">
        <is>
          <t>Low (Fatigue Dissipation)</t>
        </is>
      </c>
      <c r="G25" s="30" t="inlineStr">
        <is>
          <t>Same logic, same intensity drop.</t>
        </is>
      </c>
    </row>
    <row r="26" ht="48" customHeight="1">
      <c r="A26" s="27" t="n">
        <v>5</v>
      </c>
      <c r="B26" s="45" t="inlineStr">
        <is>
          <t>Deload</t>
        </is>
      </c>
      <c r="C26" s="29" t="n">
        <v>3</v>
      </c>
      <c r="D26" s="66" t="inlineStr">
        <is>
          <t>Thursday — Deadlift</t>
        </is>
      </c>
      <c r="E26" s="30" t="inlineStr">
        <is>
          <t>Deadlift</t>
        </is>
      </c>
      <c r="F26" s="31" t="inlineStr">
        <is>
          <t>Low (Fatigue Dissipation)</t>
        </is>
      </c>
      <c r="G26" s="30" t="inlineStr">
        <is>
          <t>Lightest deadlift session in the program (55% TM) — deadlift accumulates the most systemic fatigue of the three lifts, so it gets the biggest relative intensity drop during deload.</t>
        </is>
      </c>
    </row>
    <row r="27" ht="32" customHeight="1">
      <c r="A27" s="37" t="n">
        <v>5</v>
      </c>
      <c r="B27" s="45" t="inlineStr">
        <is>
          <t>Deload</t>
        </is>
      </c>
      <c r="C27" s="38" t="n">
        <v>4</v>
      </c>
      <c r="D27" s="67" t="inlineStr">
        <is>
          <t>Friday — Bench variant / upper body</t>
        </is>
      </c>
      <c r="E27" s="39" t="inlineStr">
        <is>
          <t>Light paused bench</t>
        </is>
      </c>
      <c r="F27" s="40" t="inlineStr">
        <is>
          <t>Low (Fatigue Dissipation)</t>
        </is>
      </c>
      <c r="G27" s="30" t="inlineStr">
        <is>
          <t>Volume across accessories is roughly half of Week 4 — this day should feel almost too easy. That's correct.</t>
        </is>
      </c>
    </row>
    <row r="28" ht="32" customHeight="1">
      <c r="A28" s="27" t="n">
        <v>5</v>
      </c>
      <c r="B28" s="45" t="inlineStr">
        <is>
          <t>Deload</t>
        </is>
      </c>
      <c r="C28" s="29" t="n">
        <v>5</v>
      </c>
      <c r="D28" s="66" t="inlineStr">
        <is>
          <t>Saturday — Squat variant + Rack Pull</t>
        </is>
      </c>
      <c r="E28" s="30" t="inlineStr">
        <is>
          <t>Light technique squat / Rack pull</t>
        </is>
      </c>
      <c r="F28" s="31" t="inlineStr">
        <is>
          <t>Low (Fatigue Dissipation)</t>
        </is>
      </c>
      <c r="G28" s="30" t="inlineStr">
        <is>
          <t>Both movements are explicitly 'easy' here — the goal is moving weight to keep the pattern fresh, not accumulating any new training stress.</t>
        </is>
      </c>
    </row>
    <row r="29" ht="64" customHeight="1">
      <c r="A29" s="37" t="n">
        <v>6</v>
      </c>
      <c r="B29" s="33" t="inlineStr">
        <is>
          <t>Intensification</t>
        </is>
      </c>
      <c r="C29" s="38" t="n">
        <v>1</v>
      </c>
      <c r="D29" s="67" t="inlineStr">
        <is>
          <t>Monday — Squat</t>
        </is>
      </c>
      <c r="E29" s="39" t="inlineStr">
        <is>
          <t>Squat</t>
        </is>
      </c>
      <c r="F29" s="40" t="inlineStr">
        <is>
          <t>Moderate (Systemic Loading)</t>
        </is>
      </c>
      <c r="G29" s="30" t="inlineStr">
        <is>
          <t>Sets drop back to 5, reps stay at 3, but intensity jumps to 83% — the shift from accumulation logic (more volume, moderate intensity) to intensification logic (less volume, higher intensity) starts here. RPE 8 should feel similar to Week 4's RPE 8, even though the % is higher, because you're rested.</t>
        </is>
      </c>
    </row>
    <row r="30" ht="28" customHeight="1">
      <c r="A30" s="27" t="n">
        <v>6</v>
      </c>
      <c r="B30" s="33" t="inlineStr">
        <is>
          <t>Intensification</t>
        </is>
      </c>
      <c r="C30" s="29" t="n">
        <v>2</v>
      </c>
      <c r="D30" s="66" t="inlineStr">
        <is>
          <t>Tuesday — Bench</t>
        </is>
      </c>
      <c r="E30" s="30" t="inlineStr">
        <is>
          <t>Bench</t>
        </is>
      </c>
      <c r="F30" s="31" t="inlineStr">
        <is>
          <t>Moderate (Systemic Loading)</t>
        </is>
      </c>
      <c r="G30" s="30" t="inlineStr">
        <is>
          <t>Same shift — 5x3 @ 83%, RPE 8.</t>
        </is>
      </c>
    </row>
    <row r="31" ht="32" customHeight="1">
      <c r="A31" s="37" t="n">
        <v>6</v>
      </c>
      <c r="B31" s="33" t="inlineStr">
        <is>
          <t>Intensification</t>
        </is>
      </c>
      <c r="C31" s="38" t="n">
        <v>3</v>
      </c>
      <c r="D31" s="67" t="inlineStr">
        <is>
          <t>Thursday — Deadlift</t>
        </is>
      </c>
      <c r="E31" s="39" t="inlineStr">
        <is>
          <t>Deadlift</t>
        </is>
      </c>
      <c r="F31" s="40" t="inlineStr">
        <is>
          <t>Moderate (Systemic Loading)</t>
        </is>
      </c>
      <c r="G31" s="30" t="inlineStr">
        <is>
          <t>3x3 @ 82% — deadlift volume actually drops (from 4 sets to 3) as intensity climbs, protecting recovery as the numbers on the bar get heavier.</t>
        </is>
      </c>
    </row>
    <row r="32" ht="32" customHeight="1">
      <c r="A32" s="27" t="n">
        <v>6</v>
      </c>
      <c r="B32" s="33" t="inlineStr">
        <is>
          <t>Intensification</t>
        </is>
      </c>
      <c r="C32" s="29" t="n">
        <v>4</v>
      </c>
      <c r="D32" s="66" t="inlineStr">
        <is>
          <t>Friday — Bench variant / upper body</t>
        </is>
      </c>
      <c r="E32" s="30" t="inlineStr">
        <is>
          <t>Spoto press</t>
        </is>
      </c>
      <c r="F32" s="31" t="inlineStr">
        <is>
          <t>Moderate (Systemic Loading)</t>
        </is>
      </c>
      <c r="G32" s="30" t="inlineStr">
        <is>
          <t>Spoto press intensity ticks up modestly (65%) but stays a genuinely sub-maximal accessory day — this session's job is still support work, not pushing a new intensity high.</t>
        </is>
      </c>
    </row>
    <row r="33" ht="32" customHeight="1">
      <c r="A33" s="37" t="n">
        <v>6</v>
      </c>
      <c r="B33" s="33" t="inlineStr">
        <is>
          <t>Intensification</t>
        </is>
      </c>
      <c r="C33" s="38" t="n">
        <v>5</v>
      </c>
      <c r="D33" s="67" t="inlineStr">
        <is>
          <t>Saturday — Squat variant + Rack Pull</t>
        </is>
      </c>
      <c r="E33" s="39" t="inlineStr">
        <is>
          <t>High bar squat / Rack pull</t>
        </is>
      </c>
      <c r="F33" s="40" t="inlineStr">
        <is>
          <t>Moderate (Systemic Loading)</t>
        </is>
      </c>
      <c r="G33" s="30" t="inlineStr">
        <is>
          <t>Rack pull moves to 4x3 @ 80%, matching the intensification shift seen everywhere else this week — fewer sets, heavier load.</t>
        </is>
      </c>
    </row>
    <row r="34" ht="48" customHeight="1">
      <c r="A34" s="27" t="n">
        <v>7</v>
      </c>
      <c r="B34" s="33" t="inlineStr">
        <is>
          <t>Intensification</t>
        </is>
      </c>
      <c r="C34" s="29" t="n">
        <v>1</v>
      </c>
      <c r="D34" s="66" t="inlineStr">
        <is>
          <t>Monday — Squat</t>
        </is>
      </c>
      <c r="E34" s="30" t="inlineStr">
        <is>
          <t>Squat</t>
        </is>
      </c>
      <c r="F34" s="31" t="inlineStr">
        <is>
          <t>Moderate (Systemic Loading)</t>
        </is>
      </c>
      <c r="G34" s="30" t="inlineStr">
        <is>
          <t>Reps drop to 2, intensity to 87% — this is the point in the block where you should start feeling real weight on the bar. RPE 8 with 5 sets of 2 is a meaningfully different stimulus than Week 6's 5x3, even though the jump in % looks small.</t>
        </is>
      </c>
    </row>
    <row r="35" ht="32" customHeight="1">
      <c r="A35" s="37" t="n">
        <v>7</v>
      </c>
      <c r="B35" s="33" t="inlineStr">
        <is>
          <t>Intensification</t>
        </is>
      </c>
      <c r="C35" s="38" t="n">
        <v>2</v>
      </c>
      <c r="D35" s="67" t="inlineStr">
        <is>
          <t>Tuesday — Bench</t>
        </is>
      </c>
      <c r="E35" s="39" t="inlineStr">
        <is>
          <t>Bench</t>
        </is>
      </c>
      <c r="F35" s="40" t="inlineStr">
        <is>
          <t>Moderate (Systemic Loading)</t>
        </is>
      </c>
      <c r="G35" s="30" t="inlineStr">
        <is>
          <t>Sets actually increase to 6x2 @ 87% — bench tends to tolerate slightly more frequency/volume at high intensity than squat or deadlift, which is why it gets an extra set here.</t>
        </is>
      </c>
    </row>
    <row r="36" ht="32" customHeight="1">
      <c r="A36" s="27" t="n">
        <v>7</v>
      </c>
      <c r="B36" s="33" t="inlineStr">
        <is>
          <t>Intensification</t>
        </is>
      </c>
      <c r="C36" s="29" t="n">
        <v>3</v>
      </c>
      <c r="D36" s="66" t="inlineStr">
        <is>
          <t>Thursday — Deadlift</t>
        </is>
      </c>
      <c r="E36" s="30" t="inlineStr">
        <is>
          <t>Deadlift</t>
        </is>
      </c>
      <c r="F36" s="31" t="inlineStr">
        <is>
          <t>Moderate (Systemic Loading)</t>
        </is>
      </c>
      <c r="G36" s="30" t="inlineStr">
        <is>
          <t>4x2 @ 86% — deadlift picks its set count back up now that intensity has stabilized into the doubles range, but stays a single weekly exposure.</t>
        </is>
      </c>
    </row>
    <row r="37" ht="48" customHeight="1">
      <c r="A37" s="37" t="n">
        <v>7</v>
      </c>
      <c r="B37" s="33" t="inlineStr">
        <is>
          <t>Intensification</t>
        </is>
      </c>
      <c r="C37" s="38" t="n">
        <v>4</v>
      </c>
      <c r="D37" s="67" t="inlineStr">
        <is>
          <t>Friday — Bench variant / upper body</t>
        </is>
      </c>
      <c r="E37" s="39" t="inlineStr">
        <is>
          <t>Tempo bench</t>
        </is>
      </c>
      <c r="F37" s="40" t="inlineStr">
        <is>
          <t>Moderate (Systemic Loading)</t>
        </is>
      </c>
      <c r="G37" s="30" t="inlineStr">
        <is>
          <t>Tempo bench returns as the frequency movement, still at a low, controlled intensity (65%) — this day's purpose hasn't changed all cycle: reinforce technique and support upper-back strength without adding to the week's fatigue total.</t>
        </is>
      </c>
    </row>
    <row r="38" ht="32" customHeight="1">
      <c r="A38" s="27" t="n">
        <v>7</v>
      </c>
      <c r="B38" s="33" t="inlineStr">
        <is>
          <t>Intensification</t>
        </is>
      </c>
      <c r="C38" s="29" t="n">
        <v>5</v>
      </c>
      <c r="D38" s="66" t="inlineStr">
        <is>
          <t>Saturday — Squat variant + Rack Pull</t>
        </is>
      </c>
      <c r="E38" s="30" t="inlineStr">
        <is>
          <t>Paused squat / Rack pull</t>
        </is>
      </c>
      <c r="F38" s="31" t="inlineStr">
        <is>
          <t>Moderate (Systemic Loading)</t>
        </is>
      </c>
      <c r="G38" s="30" t="inlineStr">
        <is>
          <t>Rack pull climbs to 84% for 4x2 — tracking the same double-focused intensification pattern as the other three lifts.</t>
        </is>
      </c>
    </row>
    <row r="39" ht="48" customHeight="1">
      <c r="A39" s="37" t="n">
        <v>8</v>
      </c>
      <c r="B39" s="33" t="inlineStr">
        <is>
          <t>Intensification</t>
        </is>
      </c>
      <c r="C39" s="38" t="n">
        <v>1</v>
      </c>
      <c r="D39" s="67" t="inlineStr">
        <is>
          <t>Monday — Squat</t>
        </is>
      </c>
      <c r="E39" s="39" t="inlineStr">
        <is>
          <t>Squat</t>
        </is>
      </c>
      <c r="F39" s="40" t="inlineStr">
        <is>
          <t>Moderate (Systemic Loading)</t>
        </is>
      </c>
      <c r="G39" s="30" t="inlineStr">
        <is>
          <t>4x2 @ 90%, RPE 8-9 — you're now within range of what a competition attempt will feel like. Set count drops to 4 as the weight gets heavy enough that quality on every rep matters more than total reps accumulated.</t>
        </is>
      </c>
    </row>
    <row r="40" ht="28" customHeight="1">
      <c r="A40" s="27" t="n">
        <v>8</v>
      </c>
      <c r="B40" s="33" t="inlineStr">
        <is>
          <t>Intensification</t>
        </is>
      </c>
      <c r="C40" s="29" t="n">
        <v>2</v>
      </c>
      <c r="D40" s="66" t="inlineStr">
        <is>
          <t>Tuesday — Bench</t>
        </is>
      </c>
      <c r="E40" s="30" t="inlineStr">
        <is>
          <t>Bench</t>
        </is>
      </c>
      <c r="F40" s="31" t="inlineStr">
        <is>
          <t>Moderate (Systemic Loading)</t>
        </is>
      </c>
      <c r="G40" s="30" t="inlineStr">
        <is>
          <t>5x2 @ 90%, RPE 8-9 — same logic, same intensity.</t>
        </is>
      </c>
    </row>
    <row r="41" ht="48" customHeight="1">
      <c r="A41" s="37" t="n">
        <v>8</v>
      </c>
      <c r="B41" s="33" t="inlineStr">
        <is>
          <t>Intensification</t>
        </is>
      </c>
      <c r="C41" s="38" t="n">
        <v>3</v>
      </c>
      <c r="D41" s="67" t="inlineStr">
        <is>
          <t>Thursday — Deadlift</t>
        </is>
      </c>
      <c r="E41" s="39" t="inlineStr">
        <is>
          <t>Deadlift</t>
        </is>
      </c>
      <c r="F41" s="40" t="inlineStr">
        <is>
          <t>Moderate (Systemic Loading)</t>
        </is>
      </c>
      <c r="G41" s="30" t="inlineStr">
        <is>
          <t>3x2 @ 89%, RPE 8-9 — deadlift's lower set count here isn't a weakness in the program, it's intentional: this is the heaviest deadlift has been all cycle, and 3 quality doubles is enough stimulus without over-costing next week's recovery.</t>
        </is>
      </c>
    </row>
    <row r="42" ht="32" customHeight="1">
      <c r="A42" s="27" t="n">
        <v>8</v>
      </c>
      <c r="B42" s="33" t="inlineStr">
        <is>
          <t>Intensification</t>
        </is>
      </c>
      <c r="C42" s="29" t="n">
        <v>4</v>
      </c>
      <c r="D42" s="66" t="inlineStr">
        <is>
          <t>Friday — Bench variant / upper body</t>
        </is>
      </c>
      <c r="E42" s="30" t="inlineStr">
        <is>
          <t>Paused bench</t>
        </is>
      </c>
      <c r="F42" s="31" t="inlineStr">
        <is>
          <t>Moderate (Systemic Loading)</t>
        </is>
      </c>
      <c r="G42" s="30" t="inlineStr">
        <is>
          <t>Accessory volume trims down further (2-3 sets across the board) — a sign the week's real work has already happened on Days 1-3 and this session exists to support, not add stress.</t>
        </is>
      </c>
    </row>
    <row r="43" ht="32" customHeight="1">
      <c r="A43" s="37" t="n">
        <v>8</v>
      </c>
      <c r="B43" s="33" t="inlineStr">
        <is>
          <t>Intensification</t>
        </is>
      </c>
      <c r="C43" s="38" t="n">
        <v>5</v>
      </c>
      <c r="D43" s="67" t="inlineStr">
        <is>
          <t>Saturday — Squat variant + Rack Pull</t>
        </is>
      </c>
      <c r="E43" s="39" t="inlineStr">
        <is>
          <t>Tempo squat / Rack pull</t>
        </is>
      </c>
      <c r="F43" s="40" t="inlineStr">
        <is>
          <t>Moderate (Systemic Loading)</t>
        </is>
      </c>
      <c r="G43" s="30" t="inlineStr">
        <is>
          <t>Rack pull hits 88% for 3x2, its heaviest point yet — matching deadlift and squat's approach to this stage of the block.</t>
        </is>
      </c>
    </row>
    <row r="44" ht="80" customHeight="1">
      <c r="A44" s="27" t="n">
        <v>9</v>
      </c>
      <c r="B44" s="46" t="inlineStr">
        <is>
          <t>Top of Intensification</t>
        </is>
      </c>
      <c r="C44" s="29" t="n">
        <v>1</v>
      </c>
      <c r="D44" s="66" t="inlineStr">
        <is>
          <t>Monday — Squat</t>
        </is>
      </c>
      <c r="E44" s="30" t="inlineStr">
        <is>
          <t>Squat</t>
        </is>
      </c>
      <c r="F44" s="31" t="inlineStr">
        <is>
          <t>High (Supercompensation Trigger)</t>
        </is>
      </c>
      <c r="G44" s="30" t="inlineStr">
        <is>
          <t>3x2 @ 90% with an optional single at 92% — this is the last near-max exposure before the taper begins, and it's deliberately capped rather than fixed. If your doubles feel fast and clean, the optional single gives you one true near-max data point; if they don't, skipping it protects the freshness you'll need in Weeks 11-13. This is the most important judgment call in the whole program — err toward skipping if in doubt.</t>
        </is>
      </c>
    </row>
    <row r="45" ht="32" customHeight="1">
      <c r="A45" s="37" t="n">
        <v>9</v>
      </c>
      <c r="B45" s="46" t="inlineStr">
        <is>
          <t>Top of Intensification</t>
        </is>
      </c>
      <c r="C45" s="38" t="n">
        <v>2</v>
      </c>
      <c r="D45" s="67" t="inlineStr">
        <is>
          <t>Tuesday — Bench</t>
        </is>
      </c>
      <c r="E45" s="39" t="inlineStr">
        <is>
          <t>Bench</t>
        </is>
      </c>
      <c r="F45" s="40" t="inlineStr">
        <is>
          <t>High (Supercompensation Trigger)</t>
        </is>
      </c>
      <c r="G45" s="30" t="inlineStr">
        <is>
          <t>Same structure — 4x2 @ 88% with an optional single @ 90%, gated by the same bar-speed rule.</t>
        </is>
      </c>
    </row>
    <row r="46" ht="32" customHeight="1">
      <c r="A46" s="27" t="n">
        <v>9</v>
      </c>
      <c r="B46" s="46" t="inlineStr">
        <is>
          <t>Top of Intensification</t>
        </is>
      </c>
      <c r="C46" s="29" t="n">
        <v>3</v>
      </c>
      <c r="D46" s="66" t="inlineStr">
        <is>
          <t>Thursday — Deadlift</t>
        </is>
      </c>
      <c r="E46" s="30" t="inlineStr">
        <is>
          <t>Deadlift</t>
        </is>
      </c>
      <c r="F46" s="31" t="inlineStr">
        <is>
          <t>High (Supercompensation Trigger)</t>
        </is>
      </c>
      <c r="G46" s="30" t="inlineStr">
        <is>
          <t>2x2 @ 88% with an optional single @ 90% — deadlift's set count is intentionally lowest of the four lifts this week, since it recovers slowest and the taper is only two weeks away.</t>
        </is>
      </c>
    </row>
    <row r="47" ht="32" customHeight="1">
      <c r="A47" s="37" t="n">
        <v>9</v>
      </c>
      <c r="B47" s="46" t="inlineStr">
        <is>
          <t>Top of Intensification</t>
        </is>
      </c>
      <c r="C47" s="38" t="n">
        <v>4</v>
      </c>
      <c r="D47" s="67" t="inlineStr">
        <is>
          <t>Friday — Bench variant / upper body</t>
        </is>
      </c>
      <c r="E47" s="39" t="inlineStr">
        <is>
          <t>Competition-style bench</t>
        </is>
      </c>
      <c r="F47" s="40" t="inlineStr">
        <is>
          <t>High (Supercompensation Trigger)</t>
        </is>
      </c>
      <c r="G47" s="30" t="inlineStr">
        <is>
          <t>'Competition-style' means pause, grip, and setup exactly as you'll use on a platform — this is technical rehearsal at a manageable intensity (83%), not a new intensity push.</t>
        </is>
      </c>
    </row>
    <row r="48" ht="32" customHeight="1">
      <c r="A48" s="27" t="n">
        <v>9</v>
      </c>
      <c r="B48" s="46" t="inlineStr">
        <is>
          <t>Top of Intensification</t>
        </is>
      </c>
      <c r="C48" s="29" t="n">
        <v>5</v>
      </c>
      <c r="D48" s="66" t="inlineStr">
        <is>
          <t>Saturday — Squat variant + Rack Pull</t>
        </is>
      </c>
      <c r="E48" s="30" t="inlineStr">
        <is>
          <t>Paused squat / Rack pull</t>
        </is>
      </c>
      <c r="F48" s="31" t="inlineStr">
        <is>
          <t>High (Supercompensation Trigger)</t>
        </is>
      </c>
      <c r="G48" s="30" t="inlineStr">
        <is>
          <t>Rack pull follows the same optional-single structure as the main three lifts — 2x2 @ 86% with an optional single @ 88%, same bar-speed gate.</t>
        </is>
      </c>
    </row>
    <row r="49" ht="48" customHeight="1">
      <c r="A49" s="37" t="n">
        <v>10</v>
      </c>
      <c r="B49" s="45" t="inlineStr">
        <is>
          <t>Deload</t>
        </is>
      </c>
      <c r="C49" s="38" t="n">
        <v>1</v>
      </c>
      <c r="D49" s="67" t="inlineStr">
        <is>
          <t>Monday — Squat</t>
        </is>
      </c>
      <c r="E49" s="39" t="inlineStr">
        <is>
          <t>Squat</t>
        </is>
      </c>
      <c r="F49" s="40" t="inlineStr">
        <is>
          <t>Low (Fatigue Dissipation)</t>
        </is>
      </c>
      <c r="G49" s="30" t="inlineStr">
        <is>
          <t>Back down to 65% TM, RPE 6 — this deload exists specifically to absorb whatever near-max singles you did take in Week 9. Even if you skipped every optional single, the four weeks of climbing intensity before it still need this reset.</t>
        </is>
      </c>
    </row>
    <row r="50" ht="28" customHeight="1">
      <c r="A50" s="27" t="n">
        <v>10</v>
      </c>
      <c r="B50" s="45" t="inlineStr">
        <is>
          <t>Deload</t>
        </is>
      </c>
      <c r="C50" s="29" t="n">
        <v>2</v>
      </c>
      <c r="D50" s="66" t="inlineStr">
        <is>
          <t>Tuesday — Bench</t>
        </is>
      </c>
      <c r="E50" s="30" t="inlineStr">
        <is>
          <t>Bench</t>
        </is>
      </c>
      <c r="F50" s="31" t="inlineStr">
        <is>
          <t>Low (Fatigue Dissipation)</t>
        </is>
      </c>
      <c r="G50" s="30" t="inlineStr">
        <is>
          <t>Same intensity drop, same purpose.</t>
        </is>
      </c>
    </row>
    <row r="51" ht="32" customHeight="1">
      <c r="A51" s="37" t="n">
        <v>10</v>
      </c>
      <c r="B51" s="45" t="inlineStr">
        <is>
          <t>Deload</t>
        </is>
      </c>
      <c r="C51" s="38" t="n">
        <v>3</v>
      </c>
      <c r="D51" s="67" t="inlineStr">
        <is>
          <t>Thursday — Deadlift</t>
        </is>
      </c>
      <c r="E51" s="39" t="inlineStr">
        <is>
          <t>Deadlift</t>
        </is>
      </c>
      <c r="F51" s="40" t="inlineStr">
        <is>
          <t>Low (Fatigue Dissipation)</t>
        </is>
      </c>
      <c r="G51" s="30" t="inlineStr">
        <is>
          <t>60% TM — deadlift again gets the largest relative drop of the three lifts, consistent with every deload in this program.</t>
        </is>
      </c>
    </row>
    <row r="52" ht="32" customHeight="1">
      <c r="A52" s="27" t="n">
        <v>10</v>
      </c>
      <c r="B52" s="45" t="inlineStr">
        <is>
          <t>Deload</t>
        </is>
      </c>
      <c r="C52" s="29" t="n">
        <v>4</v>
      </c>
      <c r="D52" s="66" t="inlineStr">
        <is>
          <t>Friday — Bench variant / upper body</t>
        </is>
      </c>
      <c r="E52" s="30" t="inlineStr">
        <is>
          <t>Light paused bench</t>
        </is>
      </c>
      <c r="F52" s="31" t="inlineStr">
        <is>
          <t>Low (Fatigue Dissipation)</t>
        </is>
      </c>
      <c r="G52" s="30" t="inlineStr">
        <is>
          <t>Accessories are minimal here (2 sets max) — the only goal this session is blood flow and pattern maintenance.</t>
        </is>
      </c>
    </row>
    <row r="53" ht="48" customHeight="1">
      <c r="A53" s="37" t="n">
        <v>10</v>
      </c>
      <c r="B53" s="45" t="inlineStr">
        <is>
          <t>Deload</t>
        </is>
      </c>
      <c r="C53" s="38" t="n">
        <v>5</v>
      </c>
      <c r="D53" s="67" t="inlineStr">
        <is>
          <t>Saturday — Squat variant + Rack Pull</t>
        </is>
      </c>
      <c r="E53" s="39" t="inlineStr">
        <is>
          <t>Light squat technique / Rack pull</t>
        </is>
      </c>
      <c r="F53" s="40" t="inlineStr">
        <is>
          <t>Low (Fatigue Dissipation)</t>
        </is>
      </c>
      <c r="G53" s="30" t="inlineStr">
        <is>
          <t>Both movements explicitly 'easy' — by the end of this week you should feel noticeably fresher than you did entering it. If you don't, that's useful information: consider extending recovery before Week 11 rather than pushing into it fatigued.</t>
        </is>
      </c>
    </row>
    <row r="54" ht="64" customHeight="1">
      <c r="A54" s="27" t="n">
        <v>11</v>
      </c>
      <c r="B54" s="47" t="inlineStr">
        <is>
          <t>Peak / Realization</t>
        </is>
      </c>
      <c r="C54" s="29" t="n">
        <v>1</v>
      </c>
      <c r="D54" s="66" t="inlineStr">
        <is>
          <t>Monday — Squat</t>
        </is>
      </c>
      <c r="E54" s="30" t="inlineStr">
        <is>
          <t>Squat</t>
        </is>
      </c>
      <c r="F54" s="31" t="inlineStr">
        <is>
          <t>High (Supercompensation Trigger)</t>
        </is>
      </c>
      <c r="G54" s="30" t="inlineStr">
        <is>
          <t>A true heavy single at 90% TM, RPE 8-9 — deliberately lower than the original program's 92-93% call, because this is now two near-max exposures away from your actual PR attempt, not one. The back-off doubles at 82% add a small amount of extra quality volume without turning this into another intensification-style session.</t>
        </is>
      </c>
    </row>
    <row r="55" ht="28" customHeight="1">
      <c r="A55" s="37" t="n">
        <v>11</v>
      </c>
      <c r="B55" s="47" t="inlineStr">
        <is>
          <t>Peak / Realization</t>
        </is>
      </c>
      <c r="C55" s="38" t="n">
        <v>2</v>
      </c>
      <c r="D55" s="67" t="inlineStr">
        <is>
          <t>Tuesday — Bench</t>
        </is>
      </c>
      <c r="E55" s="39" t="inlineStr">
        <is>
          <t>Bench</t>
        </is>
      </c>
      <c r="F55" s="40" t="inlineStr">
        <is>
          <t>High (Supercompensation Trigger)</t>
        </is>
      </c>
      <c r="G55" s="30" t="inlineStr">
        <is>
          <t>Same structure and same reasoning — 90% single, back-off doubles at 82%.</t>
        </is>
      </c>
    </row>
    <row r="56" ht="48" customHeight="1">
      <c r="A56" s="27" t="n">
        <v>11</v>
      </c>
      <c r="B56" s="47" t="inlineStr">
        <is>
          <t>Peak / Realization</t>
        </is>
      </c>
      <c r="C56" s="29" t="n">
        <v>3</v>
      </c>
      <c r="D56" s="66" t="inlineStr">
        <is>
          <t>Thursday — Deadlift</t>
        </is>
      </c>
      <c r="E56" s="30" t="inlineStr">
        <is>
          <t>Deadlift</t>
        </is>
      </c>
      <c r="F56" s="31" t="inlineStr">
        <is>
          <t>High (Supercompensation Trigger)</t>
        </is>
      </c>
      <c r="G56" s="30" t="inlineStr">
        <is>
          <t>A single heavy attempt at 88% and nothing else beyond reverse hyper — deadlift gets the least additional work of any lift this week because it has the least recovery runway left before test week.</t>
        </is>
      </c>
    </row>
    <row r="57" ht="32" customHeight="1">
      <c r="A57" s="37" t="n">
        <v>11</v>
      </c>
      <c r="B57" s="47" t="inlineStr">
        <is>
          <t>Peak / Realization</t>
        </is>
      </c>
      <c r="C57" s="38" t="n">
        <v>4</v>
      </c>
      <c r="D57" s="67" t="inlineStr">
        <is>
          <t>Friday — Bench variant / upper body</t>
        </is>
      </c>
      <c r="E57" s="39" t="inlineStr">
        <is>
          <t>Competition-style bench</t>
        </is>
      </c>
      <c r="F57" s="40" t="inlineStr">
        <is>
          <t>High (Supercompensation Trigger)</t>
        </is>
      </c>
      <c r="G57" s="30" t="inlineStr">
        <is>
          <t>Lower intensity (75%) than Week 9's version of this session — as you get closer to testing, every non-peak day should be getting easier, not staying flat.</t>
        </is>
      </c>
    </row>
    <row r="58" ht="48" customHeight="1">
      <c r="A58" s="27" t="n">
        <v>11</v>
      </c>
      <c r="B58" s="47" t="inlineStr">
        <is>
          <t>Peak / Realization</t>
        </is>
      </c>
      <c r="C58" s="29" t="n">
        <v>5</v>
      </c>
      <c r="D58" s="66" t="inlineStr">
        <is>
          <t>Saturday — Squat variant + Rack Pull</t>
        </is>
      </c>
      <c r="E58" s="30" t="inlineStr">
        <is>
          <t>Paused squat / Rack pull</t>
        </is>
      </c>
      <c r="F58" s="31" t="inlineStr">
        <is>
          <t>High (Supercompensation Trigger)</t>
        </is>
      </c>
      <c r="G58" s="30" t="inlineStr">
        <is>
          <t>Rack pull's 'heavy double, then stop' prescription at 87% (down from the original 90%) is the same taper logic applied to the fourth lift — protect the number you're chasing in Week 13 by not chasing a smaller number too close to it.</t>
        </is>
      </c>
    </row>
    <row r="59" ht="64" customHeight="1">
      <c r="A59" s="37" t="n">
        <v>12</v>
      </c>
      <c r="B59" s="48" t="inlineStr">
        <is>
          <t>FINAL FORM (Taper)</t>
        </is>
      </c>
      <c r="C59" s="38" t="n">
        <v>1</v>
      </c>
      <c r="D59" s="67" t="inlineStr">
        <is>
          <t>Monday — Squat</t>
        </is>
      </c>
      <c r="E59" s="39" t="inlineStr">
        <is>
          <t>Squat</t>
        </is>
      </c>
      <c r="F59" s="40" t="inlineStr">
        <is>
          <t>Moderate-Low (Sharpening)</t>
        </is>
      </c>
      <c r="G59" s="30" t="inlineStr">
        <is>
          <t>3x1 @ 85%, RPE 7-8, explicitly framed as 'crisp reps only, stop if speed drops.' This is the core taper principle: intensity stays moderate-high so the nervous system stays primed, but nothing here is a new max effort. The original program had a 95% single scheduled this week — the single biggest risk in the whole 13 weeks — and it's removed entirely.</t>
        </is>
      </c>
    </row>
    <row r="60" ht="28" customHeight="1">
      <c r="A60" s="27" t="n">
        <v>12</v>
      </c>
      <c r="B60" s="48" t="inlineStr">
        <is>
          <t>FINAL FORM (Taper)</t>
        </is>
      </c>
      <c r="C60" s="29" t="n">
        <v>2</v>
      </c>
      <c r="D60" s="66" t="inlineStr">
        <is>
          <t>Tuesday — Bench</t>
        </is>
      </c>
      <c r="E60" s="30" t="inlineStr">
        <is>
          <t>Bench</t>
        </is>
      </c>
      <c r="F60" s="31" t="inlineStr">
        <is>
          <t>Moderate-Low (Sharpening)</t>
        </is>
      </c>
      <c r="G60" s="30" t="inlineStr">
        <is>
          <t>Same taper logic — 3x1 @ 85%, speed-gated.</t>
        </is>
      </c>
    </row>
    <row r="61" ht="48" customHeight="1">
      <c r="A61" s="37" t="n">
        <v>12</v>
      </c>
      <c r="B61" s="48" t="inlineStr">
        <is>
          <t>FINAL FORM (Taper)</t>
        </is>
      </c>
      <c r="C61" s="38" t="n">
        <v>3</v>
      </c>
      <c r="D61" s="67" t="inlineStr">
        <is>
          <t>Thursday — Deadlift</t>
        </is>
      </c>
      <c r="E61" s="39" t="inlineStr">
        <is>
          <t>Deadlift</t>
        </is>
      </c>
      <c r="F61" s="40" t="inlineStr">
        <is>
          <t>Moderate-Low (Sharpening)</t>
        </is>
      </c>
      <c r="G61" s="30" t="inlineStr">
        <is>
          <t>2x1 @ 82%, RPE 7 — deadlift's taper intensity is deliberately the lowest of the four lifts, since it has the least margin for error going into test week and recovers slowest of the four.</t>
        </is>
      </c>
    </row>
    <row r="62" ht="32" customHeight="1">
      <c r="A62" s="27" t="n">
        <v>12</v>
      </c>
      <c r="B62" s="48" t="inlineStr">
        <is>
          <t>FINAL FORM (Taper)</t>
        </is>
      </c>
      <c r="C62" s="29" t="n">
        <v>4</v>
      </c>
      <c r="D62" s="66" t="inlineStr">
        <is>
          <t>Friday — Bench variant / upper body</t>
        </is>
      </c>
      <c r="E62" s="30" t="inlineStr">
        <is>
          <t>Bench lockout support</t>
        </is>
      </c>
      <c r="F62" s="31" t="inlineStr">
        <is>
          <t>Moderate-Low (Sharpening)</t>
        </is>
      </c>
      <c r="G62" s="30" t="inlineStr">
        <is>
          <t>Purely maintenance — light lockout work and minimal accessory volume. Nothing in this session should register as hard.</t>
        </is>
      </c>
    </row>
    <row r="63" ht="28" customHeight="1">
      <c r="A63" s="37" t="n">
        <v>12</v>
      </c>
      <c r="B63" s="48" t="inlineStr">
        <is>
          <t>FINAL FORM (Taper)</t>
        </is>
      </c>
      <c r="C63" s="38" t="n">
        <v>5</v>
      </c>
      <c r="D63" s="67" t="inlineStr">
        <is>
          <t>Saturday — Squat variant + Rack Pull</t>
        </is>
      </c>
      <c r="E63" s="39" t="inlineStr">
        <is>
          <t>High bar squat / Rack pull</t>
        </is>
      </c>
      <c r="F63" s="40" t="inlineStr">
        <is>
          <t>Moderate-Low (Sharpening)</t>
        </is>
      </c>
      <c r="G63" s="30" t="inlineStr">
        <is>
          <t>Rack pull mirrors deadlift's approach — 2x1 @ 82%, RPE 7, a touch rather than a test.</t>
        </is>
      </c>
    </row>
    <row r="64" ht="48" customHeight="1">
      <c r="A64" s="27" t="n">
        <v>13</v>
      </c>
      <c r="B64" s="49" t="inlineStr">
        <is>
          <t>Testing Window</t>
        </is>
      </c>
      <c r="C64" s="29" t="n">
        <v>1</v>
      </c>
      <c r="D64" s="66" t="inlineStr">
        <is>
          <t>Day A — Light activation</t>
        </is>
      </c>
      <c r="E64" s="30" t="inlineStr">
        <is>
          <t>Squat / Bench</t>
        </is>
      </c>
      <c r="F64" s="31" t="inlineStr">
        <is>
          <t>Max Effort (Attempt Day)</t>
        </is>
      </c>
      <c r="G64" s="30" t="inlineStr">
        <is>
          <t>Both squat and bench at 50% TM — just enough to prime the pattern and confirm everything feels normal. Nothing about this day should influence how heavy Monday's actual attempts feel.</t>
        </is>
      </c>
    </row>
    <row r="65" ht="32" customHeight="1">
      <c r="A65" s="37" t="n">
        <v>13</v>
      </c>
      <c r="B65" s="49" t="inlineStr">
        <is>
          <t>Testing Window</t>
        </is>
      </c>
      <c r="C65" s="38" t="n">
        <v>2</v>
      </c>
      <c r="D65" s="67" t="inlineStr">
        <is>
          <t>Day B — Bench PR (After 1 Rest Day)</t>
        </is>
      </c>
      <c r="E65" s="39" t="inlineStr">
        <is>
          <t>Bench Opener</t>
        </is>
      </c>
      <c r="F65" s="40" t="inlineStr">
        <is>
          <t>Max Effort (Attempt Day)</t>
        </is>
      </c>
      <c r="G65" s="30" t="inlineStr">
        <is>
          <t>First of the four PR attempts, placed earliest because bench recovers fastest of the four lifts — a good lift here doesn't cost you much for the squat attempt that follows.</t>
        </is>
      </c>
    </row>
    <row r="66" ht="48" customHeight="1">
      <c r="A66" s="27" t="n">
        <v>13</v>
      </c>
      <c r="B66" s="49" t="inlineStr">
        <is>
          <t>Testing Window</t>
        </is>
      </c>
      <c r="C66" s="29" t="n">
        <v>3</v>
      </c>
      <c r="D66" s="66" t="inlineStr">
        <is>
          <t>Day C — Squat PR (After 1 Rest Day)</t>
        </is>
      </c>
      <c r="E66" s="30" t="inlineStr">
        <is>
          <t>Squat Opener</t>
        </is>
      </c>
      <c r="F66" s="31" t="inlineStr">
        <is>
          <t>Max Effort (Attempt Day)</t>
        </is>
      </c>
      <c r="G66" s="30" t="inlineStr">
        <is>
          <t>Placed with a rest day of separation from bench, giving each lift its own attempt day rather than testing multiple lifts in one session, which is how fatigue from an early attempt quietly costs you a later one.</t>
        </is>
      </c>
    </row>
    <row r="67" ht="48" customHeight="1">
      <c r="A67" s="37" t="n">
        <v>13</v>
      </c>
      <c r="B67" s="49" t="inlineStr">
        <is>
          <t>Testing Window</t>
        </is>
      </c>
      <c r="C67" s="38" t="n">
        <v>4</v>
      </c>
      <c r="D67" s="67" t="inlineStr">
        <is>
          <t>Day D — Deadlift PR (After 2 Rest Days)</t>
        </is>
      </c>
      <c r="E67" s="39" t="inlineStr">
        <is>
          <t>Deadlift Opener</t>
        </is>
      </c>
      <c r="F67" s="40" t="inlineStr">
        <is>
          <t>Max Effort (Attempt Day)</t>
        </is>
      </c>
      <c r="G67" s="30" t="inlineStr">
        <is>
          <t>Given two full rest days beforehand — deadlift needs the most recovery of any lift in this program, and this is the day that recovery debt gets paid down before asking for a max effort.</t>
        </is>
      </c>
    </row>
    <row r="68" ht="80" customHeight="1">
      <c r="A68" s="27" t="n">
        <v>13</v>
      </c>
      <c r="B68" s="49" t="inlineStr">
        <is>
          <t>Testing Window</t>
        </is>
      </c>
      <c r="C68" s="29" t="n">
        <v>5</v>
      </c>
      <c r="D68" s="66" t="inlineStr">
        <is>
          <t>Day E — Rack Pull PR (After 2 Rest Days)</t>
        </is>
      </c>
      <c r="E68" s="30" t="inlineStr">
        <is>
          <t>Rack Pull Opener</t>
        </is>
      </c>
      <c r="F68" s="31" t="inlineStr">
        <is>
          <t>Max Effort (Attempt Day)</t>
        </is>
      </c>
      <c r="G68" s="30" t="inlineStr">
        <is>
          <t>The last attempt in the program, and now separated from deadlift by two rest days instead of sitting on the very next training day as in the original layout. This single change — spacing the two pulling lifts apart — is the difference between rack pull's number reflecting your actual strength versus reflecting how tired your back was three days into a testing block.</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5"/>
  <sheetViews>
    <sheetView showGridLines="1" workbookViewId="0">
      <selection activeCell="A1" sqref="A1"/>
    </sheetView>
  </sheetViews>
  <sheetFormatPr baseColWidth="8" defaultRowHeight="15"/>
  <cols>
    <col width="21" customWidth="1" min="1" max="1"/>
    <col width="24" customWidth="1" min="2" max="2"/>
    <col width="16" customWidth="1" min="3" max="3"/>
    <col width="20" customWidth="1" min="4" max="4"/>
    <col width="25" customWidth="1" min="5" max="5"/>
    <col width="32" customWidth="1" min="6" max="6"/>
    <col width="6" customWidth="1" min="7" max="7"/>
    <col width="28" customWidth="1" min="8" max="8"/>
    <col width="46" customWidth="1" min="9" max="9"/>
    <col width="26" customWidth="1" min="10" max="10"/>
  </cols>
  <sheetData>
    <row r="1" ht="30" customHeight="1">
      <c r="A1" s="1" t="inlineStr">
        <is>
          <t>CHIKO_LIFTS : BARBELL PLATE LOADING &amp; WARM-UP PROTOCOLS</t>
        </is>
      </c>
    </row>
    <row r="2" ht="20" customHeight="1">
      <c r="A2" s="26" t="inlineStr">
        <is>
          <t>Standard Olympic Bar (45 lbs) Plate Pair Configurations &amp; Algorithmic Warm-up Ladders</t>
        </is>
      </c>
    </row>
    <row r="3"/>
    <row r="4">
      <c r="A4" s="3" t="inlineStr">
        <is>
          <t>A. BARBELL PLATE LOADING REFERENCE (PER SIDE ON 45 LB BAR)</t>
        </is>
      </c>
      <c r="H4" s="3" t="inlineStr">
        <is>
          <t>B. APP WARM-UP LADDER PROTOCOL</t>
        </is>
      </c>
    </row>
    <row r="5" ht="24" customHeight="1">
      <c r="A5" s="4" t="inlineStr">
        <is>
          <t>Total Weight (lbs)</t>
        </is>
      </c>
      <c r="B5" s="4" t="inlineStr">
        <is>
          <t>Weight Per Side (lbs)</t>
        </is>
      </c>
      <c r="C5" s="4" t="inlineStr">
        <is>
          <t>45 lb Plates</t>
        </is>
      </c>
      <c r="D5" s="4" t="inlineStr">
        <is>
          <t>35 / 25 lb Plates</t>
        </is>
      </c>
      <c r="E5" s="4" t="inlineStr">
        <is>
          <t>10 / 5 / 2.5 lb Plates</t>
        </is>
      </c>
      <c r="F5" s="4" t="inlineStr">
        <is>
          <t>Full Loading Summary</t>
        </is>
      </c>
      <c r="H5" s="4" t="inlineStr">
        <is>
          <t>Step</t>
        </is>
      </c>
      <c r="I5" s="4" t="inlineStr">
        <is>
          <t>Prescription Target</t>
        </is>
      </c>
      <c r="J5" s="4" t="inlineStr">
        <is>
          <t>Rep Scheme</t>
        </is>
      </c>
    </row>
    <row r="6" ht="24" customHeight="1">
      <c r="A6" s="27" t="n">
        <v>95</v>
      </c>
      <c r="B6" s="29" t="n">
        <v>25</v>
      </c>
      <c r="C6" s="31" t="inlineStr">
        <is>
          <t>-</t>
        </is>
      </c>
      <c r="D6" s="29" t="inlineStr">
        <is>
          <t>1x 25</t>
        </is>
      </c>
      <c r="E6" s="31" t="inlineStr">
        <is>
          <t>-</t>
        </is>
      </c>
      <c r="F6" s="66" t="inlineStr">
        <is>
          <t>1x25 / side</t>
        </is>
      </c>
      <c r="H6" s="6" t="inlineStr">
        <is>
          <t>Step 1: Empty Bar</t>
        </is>
      </c>
      <c r="I6" s="8" t="inlineStr">
        <is>
          <t>45 lbs</t>
        </is>
      </c>
      <c r="J6" s="14" t="inlineStr">
        <is>
          <t>10 reps (Bar groove)</t>
        </is>
      </c>
    </row>
    <row r="7" ht="24" customHeight="1">
      <c r="A7" s="37" t="n">
        <v>115</v>
      </c>
      <c r="B7" s="38" t="n">
        <v>35</v>
      </c>
      <c r="C7" s="31" t="inlineStr">
        <is>
          <t>-</t>
        </is>
      </c>
      <c r="D7" s="38" t="inlineStr">
        <is>
          <t>1x 35</t>
        </is>
      </c>
      <c r="E7" s="40" t="inlineStr">
        <is>
          <t>-</t>
        </is>
      </c>
      <c r="F7" s="66" t="inlineStr">
        <is>
          <t>1x35 / side</t>
        </is>
      </c>
      <c r="H7" s="6" t="inlineStr">
        <is>
          <t>Step 2: 1st Load Jump</t>
        </is>
      </c>
      <c r="I7" s="8" t="inlineStr">
        <is>
          <t>Bench: 95-135 lbs / Squat &amp; DL: 135-185 lbs</t>
        </is>
      </c>
      <c r="J7" s="14" t="inlineStr">
        <is>
          <t>5 reps (Rhythm)</t>
        </is>
      </c>
    </row>
    <row r="8" ht="24" customHeight="1">
      <c r="A8" s="27" t="n">
        <v>135</v>
      </c>
      <c r="B8" s="29" t="n">
        <v>45</v>
      </c>
      <c r="C8" s="27" t="inlineStr">
        <is>
          <t>1 plate(s)</t>
        </is>
      </c>
      <c r="D8" s="31" t="inlineStr">
        <is>
          <t>-</t>
        </is>
      </c>
      <c r="E8" s="31" t="inlineStr">
        <is>
          <t>-</t>
        </is>
      </c>
      <c r="F8" s="66" t="inlineStr">
        <is>
          <t>1x45 / side</t>
        </is>
      </c>
      <c r="H8" s="6" t="inlineStr">
        <is>
          <t>Step 3: Moderate Load</t>
        </is>
      </c>
      <c r="I8" s="8" t="inlineStr">
        <is>
          <t>40% - 60% of Target Working Weight</t>
        </is>
      </c>
      <c r="J8" s="14" t="inlineStr">
        <is>
          <t>5 reps (Speed focus)</t>
        </is>
      </c>
    </row>
    <row r="9" ht="24" customHeight="1">
      <c r="A9" s="37" t="n">
        <v>155</v>
      </c>
      <c r="B9" s="38" t="n">
        <v>55</v>
      </c>
      <c r="C9" s="27" t="inlineStr">
        <is>
          <t>1 plate(s)</t>
        </is>
      </c>
      <c r="D9" s="40" t="inlineStr">
        <is>
          <t>-</t>
        </is>
      </c>
      <c r="E9" s="38" t="inlineStr">
        <is>
          <t>1x 10</t>
        </is>
      </c>
      <c r="F9" s="66" t="inlineStr">
        <is>
          <t>1x45 + 1x10 / side</t>
        </is>
      </c>
      <c r="H9" s="6" t="inlineStr">
        <is>
          <t>Step 4: Potentiation</t>
        </is>
      </c>
      <c r="I9" s="8" t="inlineStr">
        <is>
          <t>75% - 80% of Target Working Weight</t>
        </is>
      </c>
      <c r="J9" s="14" t="inlineStr">
        <is>
          <t>3 reps (Zero grind)</t>
        </is>
      </c>
    </row>
    <row r="10" ht="24" customHeight="1">
      <c r="A10" s="27" t="n">
        <v>175</v>
      </c>
      <c r="B10" s="29" t="n">
        <v>65</v>
      </c>
      <c r="C10" s="27" t="inlineStr">
        <is>
          <t>1 plate(s)</t>
        </is>
      </c>
      <c r="D10" s="31" t="inlineStr">
        <is>
          <t>-</t>
        </is>
      </c>
      <c r="E10" s="29" t="inlineStr">
        <is>
          <t>2x 10</t>
        </is>
      </c>
      <c r="F10" s="66" t="inlineStr">
        <is>
          <t>1x45 + 2x10 / side</t>
        </is>
      </c>
      <c r="H10" s="6" t="inlineStr">
        <is>
          <t>Step 5: Final Acclimation</t>
        </is>
      </c>
      <c r="I10" s="8" t="inlineStr">
        <is>
          <t>90% of Target Working Weight (if heavy)</t>
        </is>
      </c>
      <c r="J10" s="14" t="inlineStr">
        <is>
          <t>1 rep (Crisp primer)</t>
        </is>
      </c>
    </row>
    <row r="11" ht="24" customHeight="1">
      <c r="A11" s="37" t="n">
        <v>185</v>
      </c>
      <c r="B11" s="38" t="n">
        <v>70</v>
      </c>
      <c r="C11" s="27" t="inlineStr">
        <is>
          <t>1 plate(s)</t>
        </is>
      </c>
      <c r="D11" s="38" t="inlineStr">
        <is>
          <t>1x 25</t>
        </is>
      </c>
      <c r="E11" s="40" t="inlineStr">
        <is>
          <t>-</t>
        </is>
      </c>
      <c r="F11" s="66" t="inlineStr">
        <is>
          <t>1x45 + 1x25 / side</t>
        </is>
      </c>
      <c r="H11" s="63" t="inlineStr">
        <is>
          <t>Working Sets</t>
        </is>
      </c>
      <c r="I11" s="68" t="inlineStr">
        <is>
          <t>Target Programmed Weight &amp; RPE</t>
        </is>
      </c>
      <c r="J11" s="63" t="inlineStr">
        <is>
          <t>Prescribed Sets x Reps</t>
        </is>
      </c>
    </row>
    <row r="12" ht="20" customHeight="1">
      <c r="A12" s="27" t="n">
        <v>205</v>
      </c>
      <c r="B12" s="29" t="n">
        <v>80</v>
      </c>
      <c r="C12" s="27" t="inlineStr">
        <is>
          <t>1 plate(s)</t>
        </is>
      </c>
      <c r="D12" s="29" t="inlineStr">
        <is>
          <t>1x 35</t>
        </is>
      </c>
      <c r="E12" s="31" t="inlineStr">
        <is>
          <t>-</t>
        </is>
      </c>
      <c r="F12" s="66" t="inlineStr">
        <is>
          <t>1x45 + 1x35 / side</t>
        </is>
      </c>
    </row>
    <row r="13" ht="20" customHeight="1">
      <c r="A13" s="37" t="n">
        <v>215</v>
      </c>
      <c r="B13" s="38" t="n">
        <v>85</v>
      </c>
      <c r="C13" s="27" t="inlineStr">
        <is>
          <t>1 plate(s)</t>
        </is>
      </c>
      <c r="D13" s="38" t="inlineStr">
        <is>
          <t>1x 35</t>
        </is>
      </c>
      <c r="E13" s="38" t="inlineStr">
        <is>
          <t>1x 5</t>
        </is>
      </c>
      <c r="F13" s="66" t="inlineStr">
        <is>
          <t>1x45 + 1x35 + 1x5 / side</t>
        </is>
      </c>
      <c r="H13" s="5" t="inlineStr">
        <is>
          <t>COACHING TIP: WARM-UP FATIGUE DISCIPLINE</t>
        </is>
      </c>
    </row>
    <row r="14" ht="20" customHeight="1">
      <c r="A14" s="27" t="n">
        <v>225</v>
      </c>
      <c r="B14" s="29" t="n">
        <v>90</v>
      </c>
      <c r="C14" s="69" t="inlineStr">
        <is>
          <t>2 plate(s)</t>
        </is>
      </c>
      <c r="D14" s="31" t="inlineStr">
        <is>
          <t>-</t>
        </is>
      </c>
      <c r="E14" s="31" t="inlineStr">
        <is>
          <t>-</t>
        </is>
      </c>
      <c r="F14" s="66" t="inlineStr">
        <is>
          <t>2x45 / side</t>
        </is>
      </c>
      <c r="H14" s="11" t="inlineStr">
        <is>
          <t>• Warm-ups exist to grease the groove, potentiate high-threshold motor units, and check joint readiness.
• Never take warm-ups to failure or accumulate unnecessary lactic acid.
• Keep rest periods brief on early steps (60s), extending to 2-3 minutes before the final primer single and first working set.
• If bar speed slows during warm-ups, heed the 5% autoregulation drop rule on working sets.</t>
        </is>
      </c>
    </row>
    <row r="15" ht="20" customHeight="1">
      <c r="A15" s="37" t="n">
        <v>245</v>
      </c>
      <c r="B15" s="38" t="n">
        <v>100</v>
      </c>
      <c r="C15" s="69" t="inlineStr">
        <is>
          <t>2 plate(s)</t>
        </is>
      </c>
      <c r="D15" s="40" t="inlineStr">
        <is>
          <t>-</t>
        </is>
      </c>
      <c r="E15" s="38" t="inlineStr">
        <is>
          <t>1x 10</t>
        </is>
      </c>
      <c r="F15" s="66" t="inlineStr">
        <is>
          <t>2x45 + 1x10 / side</t>
        </is>
      </c>
    </row>
    <row r="16" ht="20" customHeight="1">
      <c r="A16" s="27" t="n">
        <v>265</v>
      </c>
      <c r="B16" s="29" t="n">
        <v>110</v>
      </c>
      <c r="C16" s="69" t="inlineStr">
        <is>
          <t>2 plate(s)</t>
        </is>
      </c>
      <c r="D16" s="31" t="inlineStr">
        <is>
          <t>-</t>
        </is>
      </c>
      <c r="E16" s="29" t="inlineStr">
        <is>
          <t>2x 10</t>
        </is>
      </c>
      <c r="F16" s="66" t="inlineStr">
        <is>
          <t>2x45 + 2x10 / side</t>
        </is>
      </c>
    </row>
    <row r="17" ht="20" customHeight="1">
      <c r="A17" s="37" t="n">
        <v>275</v>
      </c>
      <c r="B17" s="38" t="n">
        <v>115</v>
      </c>
      <c r="C17" s="69" t="inlineStr">
        <is>
          <t>2 plate(s)</t>
        </is>
      </c>
      <c r="D17" s="38" t="inlineStr">
        <is>
          <t>1x 25</t>
        </is>
      </c>
      <c r="E17" s="40" t="inlineStr">
        <is>
          <t>-</t>
        </is>
      </c>
      <c r="F17" s="66" t="inlineStr">
        <is>
          <t>2x45 + 1x25 / side</t>
        </is>
      </c>
    </row>
    <row r="18" ht="20" customHeight="1">
      <c r="A18" s="27" t="n">
        <v>295</v>
      </c>
      <c r="B18" s="29" t="n">
        <v>125</v>
      </c>
      <c r="C18" s="69" t="inlineStr">
        <is>
          <t>2 plate(s)</t>
        </is>
      </c>
      <c r="D18" s="29" t="inlineStr">
        <is>
          <t>1x 35</t>
        </is>
      </c>
      <c r="E18" s="31" t="inlineStr">
        <is>
          <t>-</t>
        </is>
      </c>
      <c r="F18" s="66" t="inlineStr">
        <is>
          <t>2x45 + 1x35 / side</t>
        </is>
      </c>
    </row>
    <row r="19" ht="20" customHeight="1">
      <c r="A19" s="37" t="n">
        <v>305</v>
      </c>
      <c r="B19" s="38" t="n">
        <v>130</v>
      </c>
      <c r="C19" s="69" t="inlineStr">
        <is>
          <t>2 plate(s)</t>
        </is>
      </c>
      <c r="D19" s="38" t="inlineStr">
        <is>
          <t>1x 35</t>
        </is>
      </c>
      <c r="E19" s="38" t="inlineStr">
        <is>
          <t>1x 5</t>
        </is>
      </c>
      <c r="F19" s="66" t="inlineStr">
        <is>
          <t>2x45 + 1x35 + 1x5 / side</t>
        </is>
      </c>
    </row>
    <row r="20" ht="20" customHeight="1">
      <c r="A20" s="27" t="n">
        <v>315</v>
      </c>
      <c r="B20" s="29" t="n">
        <v>135</v>
      </c>
      <c r="C20" s="69" t="inlineStr">
        <is>
          <t>3 plate(s)</t>
        </is>
      </c>
      <c r="D20" s="31" t="inlineStr">
        <is>
          <t>-</t>
        </is>
      </c>
      <c r="E20" s="31" t="inlineStr">
        <is>
          <t>-</t>
        </is>
      </c>
      <c r="F20" s="66" t="inlineStr">
        <is>
          <t>3x45 / side</t>
        </is>
      </c>
    </row>
    <row r="21" ht="20" customHeight="1">
      <c r="A21" s="37" t="n">
        <v>335</v>
      </c>
      <c r="B21" s="38" t="n">
        <v>145</v>
      </c>
      <c r="C21" s="69" t="inlineStr">
        <is>
          <t>3 plate(s)</t>
        </is>
      </c>
      <c r="D21" s="40" t="inlineStr">
        <is>
          <t>-</t>
        </is>
      </c>
      <c r="E21" s="38" t="inlineStr">
        <is>
          <t>1x 10</t>
        </is>
      </c>
      <c r="F21" s="66" t="inlineStr">
        <is>
          <t>3x45 + 1x10 / side</t>
        </is>
      </c>
    </row>
    <row r="22" ht="20" customHeight="1">
      <c r="A22" s="27" t="n">
        <v>355</v>
      </c>
      <c r="B22" s="29" t="n">
        <v>155</v>
      </c>
      <c r="C22" s="69" t="inlineStr">
        <is>
          <t>3 plate(s)</t>
        </is>
      </c>
      <c r="D22" s="31" t="inlineStr">
        <is>
          <t>-</t>
        </is>
      </c>
      <c r="E22" s="29" t="inlineStr">
        <is>
          <t>2x 10</t>
        </is>
      </c>
      <c r="F22" s="66" t="inlineStr">
        <is>
          <t>3x45 + 2x10 / side</t>
        </is>
      </c>
    </row>
    <row r="23" ht="20" customHeight="1">
      <c r="A23" s="37" t="n">
        <v>365</v>
      </c>
      <c r="B23" s="38" t="n">
        <v>160</v>
      </c>
      <c r="C23" s="69" t="inlineStr">
        <is>
          <t>3 plate(s)</t>
        </is>
      </c>
      <c r="D23" s="38" t="inlineStr">
        <is>
          <t>1x 25</t>
        </is>
      </c>
      <c r="E23" s="40" t="inlineStr">
        <is>
          <t>-</t>
        </is>
      </c>
      <c r="F23" s="66" t="inlineStr">
        <is>
          <t>3x45 + 1x25 / side</t>
        </is>
      </c>
    </row>
    <row r="24" ht="20" customHeight="1">
      <c r="A24" s="27" t="n">
        <v>385</v>
      </c>
      <c r="B24" s="29" t="n">
        <v>170</v>
      </c>
      <c r="C24" s="69" t="inlineStr">
        <is>
          <t>3 plate(s)</t>
        </is>
      </c>
      <c r="D24" s="29" t="inlineStr">
        <is>
          <t>1x 35</t>
        </is>
      </c>
      <c r="E24" s="31" t="inlineStr">
        <is>
          <t>-</t>
        </is>
      </c>
      <c r="F24" s="66" t="inlineStr">
        <is>
          <t>3x45 + 1x35 / side</t>
        </is>
      </c>
    </row>
    <row r="25" ht="20" customHeight="1">
      <c r="A25" s="37" t="n">
        <v>405</v>
      </c>
      <c r="B25" s="38" t="n">
        <v>180</v>
      </c>
      <c r="C25" s="69" t="inlineStr">
        <is>
          <t>4 plate(s)</t>
        </is>
      </c>
      <c r="D25" s="40" t="inlineStr">
        <is>
          <t>-</t>
        </is>
      </c>
      <c r="E25" s="40" t="inlineStr">
        <is>
          <t>-</t>
        </is>
      </c>
      <c r="F25" s="66" t="inlineStr">
        <is>
          <t>4x45 / side</t>
        </is>
      </c>
    </row>
    <row r="26" ht="20" customHeight="1">
      <c r="A26" s="27" t="n">
        <v>425</v>
      </c>
      <c r="B26" s="29" t="n">
        <v>190</v>
      </c>
      <c r="C26" s="69" t="inlineStr">
        <is>
          <t>4 plate(s)</t>
        </is>
      </c>
      <c r="D26" s="31" t="inlineStr">
        <is>
          <t>-</t>
        </is>
      </c>
      <c r="E26" s="29" t="inlineStr">
        <is>
          <t>1x 10</t>
        </is>
      </c>
      <c r="F26" s="66" t="inlineStr">
        <is>
          <t>4x45 + 1x10 / side</t>
        </is>
      </c>
    </row>
    <row r="27" ht="20" customHeight="1">
      <c r="A27" s="37" t="n">
        <v>445</v>
      </c>
      <c r="B27" s="38" t="n">
        <v>200</v>
      </c>
      <c r="C27" s="69" t="inlineStr">
        <is>
          <t>4 plate(s)</t>
        </is>
      </c>
      <c r="D27" s="40" t="inlineStr">
        <is>
          <t>-</t>
        </is>
      </c>
      <c r="E27" s="38" t="inlineStr">
        <is>
          <t>2x 10</t>
        </is>
      </c>
      <c r="F27" s="66" t="inlineStr">
        <is>
          <t>4x45 + 2x10 / side</t>
        </is>
      </c>
    </row>
    <row r="28" ht="20" customHeight="1">
      <c r="A28" s="27" t="n">
        <v>455</v>
      </c>
      <c r="B28" s="29" t="n">
        <v>205</v>
      </c>
      <c r="C28" s="69" t="inlineStr">
        <is>
          <t>4 plate(s)</t>
        </is>
      </c>
      <c r="D28" s="29" t="inlineStr">
        <is>
          <t>1x 25</t>
        </is>
      </c>
      <c r="E28" s="31" t="inlineStr">
        <is>
          <t>-</t>
        </is>
      </c>
      <c r="F28" s="66" t="inlineStr">
        <is>
          <t>4x45 + 1x25 / side</t>
        </is>
      </c>
    </row>
    <row r="29" ht="20" customHeight="1">
      <c r="A29" s="37" t="n">
        <v>475</v>
      </c>
      <c r="B29" s="38" t="n">
        <v>215</v>
      </c>
      <c r="C29" s="69" t="inlineStr">
        <is>
          <t>4 plate(s)</t>
        </is>
      </c>
      <c r="D29" s="38" t="inlineStr">
        <is>
          <t>1x 35</t>
        </is>
      </c>
      <c r="E29" s="40" t="inlineStr">
        <is>
          <t>-</t>
        </is>
      </c>
      <c r="F29" s="66" t="inlineStr">
        <is>
          <t>4x45 + 1x35 / side</t>
        </is>
      </c>
    </row>
    <row r="30" ht="20" customHeight="1">
      <c r="A30" s="27" t="n">
        <v>495</v>
      </c>
      <c r="B30" s="29" t="n">
        <v>225</v>
      </c>
      <c r="C30" s="69" t="inlineStr">
        <is>
          <t>5 plate(s)</t>
        </is>
      </c>
      <c r="D30" s="31" t="inlineStr">
        <is>
          <t>-</t>
        </is>
      </c>
      <c r="E30" s="31" t="inlineStr">
        <is>
          <t>-</t>
        </is>
      </c>
      <c r="F30" s="66" t="inlineStr">
        <is>
          <t>5x45 / side</t>
        </is>
      </c>
    </row>
    <row r="31" ht="20" customHeight="1">
      <c r="A31" s="37" t="n">
        <v>515</v>
      </c>
      <c r="B31" s="38" t="n">
        <v>235</v>
      </c>
      <c r="C31" s="69" t="inlineStr">
        <is>
          <t>5 plate(s)</t>
        </is>
      </c>
      <c r="D31" s="40" t="inlineStr">
        <is>
          <t>-</t>
        </is>
      </c>
      <c r="E31" s="38" t="inlineStr">
        <is>
          <t>1x 10</t>
        </is>
      </c>
      <c r="F31" s="66" t="inlineStr">
        <is>
          <t>5x45 + 1x10 / side</t>
        </is>
      </c>
    </row>
    <row r="32" ht="20" customHeight="1">
      <c r="A32" s="27" t="n">
        <v>535</v>
      </c>
      <c r="B32" s="29" t="n">
        <v>245</v>
      </c>
      <c r="C32" s="69" t="inlineStr">
        <is>
          <t>5 plate(s)</t>
        </is>
      </c>
      <c r="D32" s="31" t="inlineStr">
        <is>
          <t>-</t>
        </is>
      </c>
      <c r="E32" s="29" t="inlineStr">
        <is>
          <t>2x 10</t>
        </is>
      </c>
      <c r="F32" s="66" t="inlineStr">
        <is>
          <t>5x45 + 2x10 / side</t>
        </is>
      </c>
    </row>
    <row r="33" ht="20" customHeight="1">
      <c r="A33" s="37" t="n">
        <v>545</v>
      </c>
      <c r="B33" s="38" t="n">
        <v>250</v>
      </c>
      <c r="C33" s="69" t="inlineStr">
        <is>
          <t>5 plate(s)</t>
        </is>
      </c>
      <c r="D33" s="38" t="inlineStr">
        <is>
          <t>1x 25</t>
        </is>
      </c>
      <c r="E33" s="40" t="inlineStr">
        <is>
          <t>-</t>
        </is>
      </c>
      <c r="F33" s="66" t="inlineStr">
        <is>
          <t>5x45 + 1x25 / side</t>
        </is>
      </c>
    </row>
    <row r="34" ht="20" customHeight="1">
      <c r="A34" s="27" t="n">
        <v>565</v>
      </c>
      <c r="B34" s="29" t="n">
        <v>260</v>
      </c>
      <c r="C34" s="69" t="inlineStr">
        <is>
          <t>5 plate(s)</t>
        </is>
      </c>
      <c r="D34" s="29" t="inlineStr">
        <is>
          <t>1x 35</t>
        </is>
      </c>
      <c r="E34" s="31" t="inlineStr">
        <is>
          <t>-</t>
        </is>
      </c>
      <c r="F34" s="66" t="inlineStr">
        <is>
          <t>5x45 + 1x35 / side</t>
        </is>
      </c>
    </row>
    <row r="35" ht="20" customHeight="1">
      <c r="A35" s="37" t="n">
        <v>585</v>
      </c>
      <c r="B35" s="38" t="n">
        <v>270</v>
      </c>
      <c r="C35" s="69" t="inlineStr">
        <is>
          <t>6 plate(s)</t>
        </is>
      </c>
      <c r="D35" s="40" t="inlineStr">
        <is>
          <t>-</t>
        </is>
      </c>
      <c r="E35" s="40" t="inlineStr">
        <is>
          <t>-</t>
        </is>
      </c>
      <c r="F35" s="66" t="inlineStr">
        <is>
          <t>6x45 / side</t>
        </is>
      </c>
    </row>
  </sheetData>
  <mergeCells count="6">
    <mergeCell ref="A1:J1"/>
    <mergeCell ref="H14:J17"/>
    <mergeCell ref="H13:J13"/>
    <mergeCell ref="H4:J4"/>
    <mergeCell ref="A4:F4"/>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2026-10-12T20:45:24Z</dcterms:created>
  <dcterms:modified xmlns:dcterms="http://purl.org/dc/terms/" xmlns:xsi="http://www.w3.org/2001/XMLSchema-instance" xsi:type="dcterms:W3CDTF">2026-10-12T20:45:24Z</dcterms:modified>
</cp:coreProperties>
</file>