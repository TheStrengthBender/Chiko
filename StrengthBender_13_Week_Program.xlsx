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up &amp; Dashboard" sheetId="1" state="visible" r:id="rId1"/>
    <sheet xmlns:r="http://schemas.openxmlformats.org/officeDocument/2006/relationships" name="Master Program (All Weeks)" sheetId="2" state="visible" r:id="rId2"/>
    <sheet xmlns:r="http://schemas.openxmlformats.org/officeDocument/2006/relationships" name="Block 1 (W1-5)" sheetId="3" state="visible" r:id="rId3"/>
    <sheet xmlns:r="http://schemas.openxmlformats.org/officeDocument/2006/relationships" name="Block 2 (W6-10)" sheetId="4" state="visible" r:id="rId4"/>
    <sheet xmlns:r="http://schemas.openxmlformats.org/officeDocument/2006/relationships" name="Block 3 (W11-12)" sheetId="5" state="visible" r:id="rId5"/>
    <sheet xmlns:r="http://schemas.openxmlformats.org/officeDocument/2006/relationships" name="Week 13 PR Testing Plan" sheetId="6" state="visible" r:id="rId6"/>
    <sheet xmlns:r="http://schemas.openxmlformats.org/officeDocument/2006/relationships" name="Coaching Guide (68 Sessions)" sheetId="7" state="visible" r:id="rId7"/>
    <sheet xmlns:r="http://schemas.openxmlformats.org/officeDocument/2006/relationships" name="Plate &amp; Warm-up Reference" sheetId="8" state="visible" r:id="rId8"/>
  </sheets>
  <definedNames/>
  <calcPr calcId="124519" fullCalcOnLoad="1"/>
</workbook>
</file>

<file path=xl/styles.xml><?xml version="1.0" encoding="utf-8"?>
<styleSheet xmlns="http://schemas.openxmlformats.org/spreadsheetml/2006/main">
  <numFmts count="0"/>
  <fonts count="33">
    <font>
      <name val="Calibri"/>
      <family val="2"/>
      <color theme="1"/>
      <sz val="11"/>
      <scheme val="minor"/>
    </font>
    <font>
      <name val="Segoe UI"/>
      <b val="1"/>
      <color rgb="00FFFFFF"/>
      <sz val="16"/>
    </font>
    <font>
      <name val="Segoe UI"/>
      <i val="1"/>
      <color rgb="00CBD5E1"/>
      <sz val="10"/>
    </font>
    <font>
      <name val="Segoe UI"/>
      <b val="1"/>
      <color rgb="000F172A"/>
      <sz val="12"/>
    </font>
    <font>
      <name val="Segoe UI"/>
      <b val="1"/>
      <color rgb="00FFFFFF"/>
      <sz val="10"/>
    </font>
    <font>
      <name val="Segoe UI"/>
      <b val="1"/>
      <color rgb="000F172A"/>
      <sz val="10"/>
    </font>
    <font>
      <name val="Segoe UI"/>
      <b val="1"/>
      <color rgb="000284C7"/>
      <sz val="12"/>
    </font>
    <font>
      <name val="Segoe UI"/>
      <color rgb="0064748B"/>
      <sz val="9"/>
    </font>
    <font>
      <name val="Segoe UI"/>
      <i val="1"/>
      <color rgb="000369A1"/>
      <sz val="9"/>
    </font>
    <font>
      <name val="Segoe UI"/>
      <b val="1"/>
      <color rgb="000F172A"/>
      <sz val="11"/>
    </font>
    <font>
      <name val="Segoe UI"/>
      <color rgb="000F172A"/>
      <sz val="10"/>
    </font>
    <font>
      <name val="Segoe UI"/>
      <b val="1"/>
      <color rgb="000369A1"/>
      <sz val="9"/>
    </font>
    <font>
      <name val="Segoe UI"/>
      <b val="1"/>
      <color rgb="000284C7"/>
      <sz val="9"/>
    </font>
    <font>
      <name val="Segoe UI"/>
      <b val="1"/>
      <color rgb="0015803D"/>
      <sz val="9"/>
    </font>
    <font>
      <name val="Segoe UI"/>
      <b val="1"/>
      <color rgb="00B45309"/>
      <sz val="9"/>
    </font>
    <font>
      <name val="Segoe UI"/>
      <b val="1"/>
      <color rgb="00C2410C"/>
      <sz val="9"/>
    </font>
    <font>
      <name val="Segoe UI"/>
      <b val="1"/>
      <color rgb="00B91C1C"/>
      <sz val="9"/>
    </font>
    <font>
      <name val="Segoe UI"/>
      <b val="1"/>
      <color rgb="006D28D9"/>
      <sz val="9"/>
    </font>
    <font>
      <name val="Segoe UI"/>
      <b val="1"/>
      <color rgb="00854D0E"/>
      <sz val="9"/>
    </font>
    <font>
      <name val="Segoe UI"/>
      <b val="1"/>
      <color rgb="0016A34A"/>
      <sz val="11"/>
    </font>
    <font>
      <name val="Segoe UI"/>
      <b val="1"/>
      <color rgb="00B45309"/>
      <sz val="11"/>
    </font>
    <font>
      <name val="Segoe UI"/>
      <i val="1"/>
      <color rgb="00475569"/>
      <sz val="9"/>
    </font>
    <font>
      <name val="Segoe UI"/>
      <color rgb="00059669"/>
      <sz val="9"/>
    </font>
    <font>
      <name val="Segoe UI"/>
      <b val="1"/>
      <color rgb="000369A1"/>
      <sz val="13"/>
    </font>
    <font>
      <name val="Segoe UI"/>
      <i val="1"/>
      <color rgb="001E3A8A"/>
      <sz val="9"/>
    </font>
    <font>
      <name val="Segoe UI"/>
      <b val="1"/>
      <color rgb="00FFFFFF"/>
      <sz val="9"/>
    </font>
    <font>
      <name val="Segoe UI"/>
      <b val="1"/>
      <color rgb="000284C7"/>
      <sz val="13"/>
    </font>
    <font>
      <name val="Segoe UI"/>
      <b val="1"/>
      <color rgb="0015803D"/>
      <sz val="13"/>
    </font>
    <font>
      <name val="Segoe UI"/>
      <b val="1"/>
      <color rgb="00B45309"/>
      <sz val="13"/>
    </font>
    <font>
      <name val="Segoe UI"/>
      <b val="1"/>
      <color rgb="00C2410C"/>
      <sz val="13"/>
    </font>
    <font>
      <name val="Segoe UI"/>
      <b val="1"/>
      <color rgb="00B91C1C"/>
      <sz val="13"/>
    </font>
    <font>
      <name val="Segoe UI"/>
      <b val="1"/>
      <color rgb="006D28D9"/>
      <sz val="13"/>
    </font>
    <font>
      <name val="Segoe UI"/>
      <b val="1"/>
      <color rgb="0015803D"/>
      <sz val="11"/>
    </font>
  </fonts>
  <fills count="18">
    <fill>
      <patternFill/>
    </fill>
    <fill>
      <patternFill patternType="gray125"/>
    </fill>
    <fill>
      <patternFill patternType="solid">
        <fgColor rgb="000F172A"/>
        <bgColor rgb="000F172A"/>
      </patternFill>
    </fill>
    <fill>
      <patternFill patternType="solid">
        <fgColor rgb="001E293B"/>
        <bgColor rgb="001E293B"/>
      </patternFill>
    </fill>
    <fill>
      <patternFill patternType="solid">
        <fgColor rgb="00EFF6FF"/>
        <bgColor rgb="00EFF6FF"/>
      </patternFill>
    </fill>
    <fill>
      <patternFill patternType="solid">
        <fgColor rgb="00FEF3C7"/>
        <bgColor rgb="00FEF3C7"/>
      </patternFill>
    </fill>
    <fill>
      <patternFill patternType="solid">
        <fgColor rgb="00F1F5F9"/>
        <bgColor rgb="00F1F5F9"/>
      </patternFill>
    </fill>
    <fill>
      <patternFill patternType="solid">
        <fgColor rgb="00E0F2FE"/>
        <bgColor rgb="00E0F2FE"/>
      </patternFill>
    </fill>
    <fill>
      <patternFill patternType="solid">
        <fgColor rgb="00BAE6FD"/>
        <bgColor rgb="00BAE6FD"/>
      </patternFill>
    </fill>
    <fill>
      <patternFill patternType="solid">
        <fgColor rgb="00DCFCE7"/>
        <bgColor rgb="00DCFCE7"/>
      </patternFill>
    </fill>
    <fill>
      <patternFill patternType="solid">
        <fgColor rgb="00FFEDD5"/>
        <bgColor rgb="00FFEDD5"/>
      </patternFill>
    </fill>
    <fill>
      <patternFill patternType="solid">
        <fgColor rgb="00FEE2E2"/>
        <bgColor rgb="00FEE2E2"/>
      </patternFill>
    </fill>
    <fill>
      <patternFill patternType="solid">
        <fgColor rgb="00EDE9FE"/>
        <bgColor rgb="00EDE9FE"/>
      </patternFill>
    </fill>
    <fill>
      <patternFill patternType="solid">
        <fgColor rgb="00FEF08A"/>
        <bgColor rgb="00FEF08A"/>
      </patternFill>
    </fill>
    <fill>
      <patternFill patternType="solid">
        <fgColor rgb="00F0FDF4"/>
        <bgColor rgb="00F0FDF4"/>
      </patternFill>
    </fill>
    <fill>
      <patternFill patternType="solid">
        <fgColor rgb="00F8FAFC"/>
        <bgColor rgb="00F8FAFC"/>
      </patternFill>
    </fill>
    <fill>
      <patternFill patternType="solid">
        <fgColor rgb="00E2E8F0"/>
        <bgColor rgb="00E2E8F0"/>
      </patternFill>
    </fill>
    <fill>
      <patternFill patternType="solid">
        <fgColor rgb="00FEF2F2"/>
        <bgColor rgb="00FEF2F2"/>
      </patternFill>
    </fill>
  </fills>
  <borders count="5">
    <border>
      <left/>
      <right/>
      <top/>
      <bottom/>
      <diagonal/>
    </border>
    <border>
      <left style="thin">
        <color rgb="00334155"/>
      </left>
      <right style="thin">
        <color rgb="00334155"/>
      </right>
      <top style="thin">
        <color rgb="00334155"/>
      </top>
      <bottom style="medium">
        <color rgb="000F172A"/>
      </bottom>
    </border>
    <border>
      <left style="thin">
        <color rgb="00CBD5E1"/>
      </left>
      <right style="thin">
        <color rgb="00CBD5E1"/>
      </right>
      <top style="thin">
        <color rgb="00CBD5E1"/>
      </top>
      <bottom style="thin">
        <color rgb="00CBD5E1"/>
      </bottom>
    </border>
    <border>
      <left style="medium">
        <color rgb="000284C7"/>
      </left>
      <right style="medium">
        <color rgb="000284C7"/>
      </right>
      <top style="medium">
        <color rgb="000284C7"/>
      </top>
      <bottom style="medium">
        <color rgb="000284C7"/>
      </bottom>
    </border>
    <border>
      <left style="thin">
        <color rgb="00E2E8F0"/>
      </left>
      <right style="thin">
        <color rgb="00E2E8F0"/>
      </right>
      <top style="thin">
        <color rgb="00E2E8F0"/>
      </top>
      <bottom style="thin">
        <color rgb="00E2E8F0"/>
      </bottom>
    </border>
  </borders>
  <cellStyleXfs count="1">
    <xf numFmtId="0" fontId="0" fillId="0" borderId="0"/>
  </cellStyleXfs>
  <cellXfs count="78">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0" borderId="0" pivotButton="0" quotePrefix="0" xfId="0"/>
    <xf numFmtId="0" fontId="4" fillId="3" borderId="1" applyAlignment="1" pivotButton="0" quotePrefix="0" xfId="0">
      <alignment horizontal="center" vertical="center" wrapText="1"/>
    </xf>
    <xf numFmtId="0" fontId="9" fillId="5" borderId="2" pivotButton="0" quotePrefix="0" xfId="0"/>
    <xf numFmtId="0" fontId="5" fillId="0" borderId="2" applyAlignment="1" pivotButton="0" quotePrefix="0" xfId="0">
      <alignment horizontal="left" vertical="center" wrapText="1"/>
    </xf>
    <xf numFmtId="3" fontId="6" fillId="4" borderId="3" applyAlignment="1" pivotButton="0" quotePrefix="0" xfId="0">
      <alignment horizontal="center" vertical="center" wrapText="1"/>
    </xf>
    <xf numFmtId="0" fontId="5" fillId="0" borderId="2" applyAlignment="1" pivotButton="0" quotePrefix="0" xfId="0">
      <alignment horizontal="center" vertical="center" wrapText="1"/>
    </xf>
    <xf numFmtId="0" fontId="7" fillId="0" borderId="2" applyAlignment="1" pivotButton="0" quotePrefix="0" xfId="0">
      <alignment horizontal="left" vertical="center" wrapText="1"/>
    </xf>
    <xf numFmtId="0" fontId="10" fillId="6" borderId="2" applyAlignment="1" pivotButton="0" quotePrefix="0" xfId="0">
      <alignment horizontal="left" vertical="center" wrapText="1"/>
    </xf>
    <xf numFmtId="0" fontId="8" fillId="0" borderId="0" applyAlignment="1" pivotButton="0" quotePrefix="0" xfId="0">
      <alignment horizontal="left" vertical="center" wrapText="1"/>
    </xf>
    <xf numFmtId="0" fontId="11" fillId="7" borderId="2" applyAlignment="1" pivotButton="0" quotePrefix="0" xfId="0">
      <alignment horizontal="center" vertical="center" wrapText="1"/>
    </xf>
    <xf numFmtId="0" fontId="10" fillId="0" borderId="2" applyAlignment="1" pivotButton="0" quotePrefix="0" xfId="0">
      <alignment horizontal="left" vertical="center" wrapText="1"/>
    </xf>
    <xf numFmtId="0" fontId="7" fillId="0" borderId="2" applyAlignment="1" pivotButton="0" quotePrefix="0" xfId="0">
      <alignment horizontal="center" vertical="center" wrapText="1"/>
    </xf>
    <xf numFmtId="0" fontId="12" fillId="8" borderId="2" applyAlignment="1" pivotButton="0" quotePrefix="0" xfId="0">
      <alignment horizontal="center" vertical="center" wrapText="1"/>
    </xf>
    <xf numFmtId="0" fontId="13" fillId="9" borderId="2" applyAlignment="1" pivotButton="0" quotePrefix="0" xfId="0">
      <alignment horizontal="center" vertical="center" wrapText="1"/>
    </xf>
    <xf numFmtId="0" fontId="14" fillId="5" borderId="2" applyAlignment="1" pivotButton="0" quotePrefix="0" xfId="0">
      <alignment horizontal="center" vertical="center" wrapText="1"/>
    </xf>
    <xf numFmtId="0" fontId="15" fillId="10" borderId="2" applyAlignment="1" pivotButton="0" quotePrefix="0" xfId="0">
      <alignment horizontal="center" vertical="center" wrapText="1"/>
    </xf>
    <xf numFmtId="0" fontId="16" fillId="11" borderId="2" applyAlignment="1" pivotButton="0" quotePrefix="0" xfId="0">
      <alignment horizontal="center" vertical="center" wrapText="1"/>
    </xf>
    <xf numFmtId="0" fontId="17" fillId="12" borderId="2" applyAlignment="1" pivotButton="0" quotePrefix="0" xfId="0">
      <alignment horizontal="center" vertical="center" wrapText="1"/>
    </xf>
    <xf numFmtId="0" fontId="18" fillId="13" borderId="2" applyAlignment="1" pivotButton="0" quotePrefix="0" xfId="0">
      <alignment horizontal="center" vertical="center" wrapText="1"/>
    </xf>
    <xf numFmtId="0" fontId="5" fillId="0" borderId="2" pivotButton="0" quotePrefix="0" xfId="0"/>
    <xf numFmtId="3" fontId="5" fillId="0" borderId="2" applyAlignment="1" pivotButton="0" quotePrefix="0" xfId="0">
      <alignment horizontal="center" vertical="center" wrapText="1"/>
    </xf>
    <xf numFmtId="3" fontId="10" fillId="0" borderId="2" applyAlignment="1" pivotButton="0" quotePrefix="0" xfId="0">
      <alignment horizontal="center" vertical="center" wrapText="1"/>
    </xf>
    <xf numFmtId="3" fontId="19" fillId="14" borderId="2" applyAlignment="1" pivotButton="0" quotePrefix="0" xfId="0">
      <alignment horizontal="center" vertical="center" wrapText="1"/>
    </xf>
    <xf numFmtId="3" fontId="20" fillId="0" borderId="2" applyAlignment="1" pivotButton="0" quotePrefix="0" xfId="0">
      <alignment horizontal="center" vertical="center" wrapText="1"/>
    </xf>
    <xf numFmtId="0" fontId="21" fillId="0" borderId="2" applyAlignment="1" pivotButton="0" quotePrefix="0" xfId="0">
      <alignment horizontal="left" vertical="center" wrapText="1"/>
    </xf>
    <xf numFmtId="0" fontId="5" fillId="0" borderId="4" applyAlignment="1" pivotButton="0" quotePrefix="0" xfId="0">
      <alignment horizontal="center" vertical="center" wrapText="1"/>
    </xf>
    <xf numFmtId="0" fontId="11" fillId="7" borderId="4" applyAlignment="1" pivotButton="0" quotePrefix="0" xfId="0">
      <alignment horizontal="center"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left" vertical="center" wrapText="1"/>
    </xf>
    <xf numFmtId="0" fontId="7" fillId="0" borderId="4" applyAlignment="1" pivotButton="0" quotePrefix="0" xfId="0">
      <alignment horizontal="center" vertical="center" wrapText="1"/>
    </xf>
    <xf numFmtId="0" fontId="5" fillId="5" borderId="4" applyAlignment="1" pivotButton="0" quotePrefix="0" xfId="0">
      <alignment horizontal="left" vertical="center" wrapText="1"/>
    </xf>
    <xf numFmtId="0" fontId="14" fillId="5" borderId="4" applyAlignment="1" pivotButton="0" quotePrefix="0" xfId="0">
      <alignment horizontal="center" vertical="center" wrapText="1"/>
    </xf>
    <xf numFmtId="3" fontId="19" fillId="14" borderId="4" applyAlignment="1" pivotButton="0" quotePrefix="0" xfId="0">
      <alignment horizontal="center" vertical="center" wrapText="1"/>
    </xf>
    <xf numFmtId="0" fontId="21" fillId="0" borderId="4" applyAlignment="1" pivotButton="0" quotePrefix="0" xfId="0">
      <alignment horizontal="left" vertical="center" wrapText="1"/>
    </xf>
    <xf numFmtId="0" fontId="7" fillId="0" borderId="4" applyAlignment="1" pivotButton="0" quotePrefix="0" xfId="0">
      <alignment horizontal="left" vertical="center" wrapText="1"/>
    </xf>
    <xf numFmtId="0" fontId="5" fillId="15" borderId="4" applyAlignment="1" pivotButton="0" quotePrefix="0" xfId="0">
      <alignment horizontal="center" vertical="center" wrapText="1"/>
    </xf>
    <xf numFmtId="0" fontId="10" fillId="15" borderId="4" applyAlignment="1" pivotButton="0" quotePrefix="0" xfId="0">
      <alignment horizontal="center" vertical="center" wrapText="1"/>
    </xf>
    <xf numFmtId="0" fontId="10" fillId="15" borderId="4" applyAlignment="1" pivotButton="0" quotePrefix="0" xfId="0">
      <alignment horizontal="left" vertical="center" wrapText="1"/>
    </xf>
    <xf numFmtId="0" fontId="7" fillId="15" borderId="4" applyAlignment="1" pivotButton="0" quotePrefix="0" xfId="0">
      <alignment horizontal="center" vertical="center" wrapText="1"/>
    </xf>
    <xf numFmtId="0" fontId="12" fillId="8" borderId="4" applyAlignment="1" pivotButton="0" quotePrefix="0" xfId="0">
      <alignment horizontal="center" vertical="center" wrapText="1"/>
    </xf>
    <xf numFmtId="0" fontId="13" fillId="9" borderId="4" applyAlignment="1" pivotButton="0" quotePrefix="0" xfId="0">
      <alignment horizontal="center" vertical="center" wrapText="1"/>
    </xf>
    <xf numFmtId="0" fontId="15" fillId="10" borderId="4" applyAlignment="1" pivotButton="0" quotePrefix="0" xfId="0">
      <alignment horizontal="center" vertical="center" wrapText="1"/>
    </xf>
    <xf numFmtId="0" fontId="16" fillId="11" borderId="4" applyAlignment="1" pivotButton="0" quotePrefix="0" xfId="0">
      <alignment horizontal="center" vertical="center" wrapText="1"/>
    </xf>
    <xf numFmtId="0" fontId="17" fillId="12" borderId="4" applyAlignment="1" pivotButton="0" quotePrefix="0" xfId="0">
      <alignment horizontal="center" vertical="center" wrapText="1"/>
    </xf>
    <xf numFmtId="0" fontId="18" fillId="13" borderId="4" applyAlignment="1" pivotButton="0" quotePrefix="0" xfId="0">
      <alignment horizontal="center" vertical="center" wrapText="1"/>
    </xf>
    <xf numFmtId="0" fontId="22" fillId="0" borderId="4" applyAlignment="1" pivotButton="0" quotePrefix="0" xfId="0">
      <alignment horizontal="center" vertical="center" wrapText="1"/>
    </xf>
    <xf numFmtId="0" fontId="23" fillId="7" borderId="2" applyAlignment="1" pivotButton="0" quotePrefix="0" xfId="0">
      <alignment horizontal="left" vertical="center" wrapText="1"/>
    </xf>
    <xf numFmtId="0" fontId="9" fillId="16" borderId="2" applyAlignment="1" pivotButton="0" quotePrefix="0" xfId="0">
      <alignment horizontal="left" vertical="center" wrapText="1"/>
    </xf>
    <xf numFmtId="0" fontId="24" fillId="4" borderId="2" applyAlignment="1" pivotButton="0" quotePrefix="0" xfId="0">
      <alignment horizontal="left" vertical="center" wrapText="1"/>
    </xf>
    <xf numFmtId="0" fontId="25" fillId="3" borderId="1" applyAlignment="1" pivotButton="0" quotePrefix="0" xfId="0">
      <alignment horizontal="center" vertical="center" wrapText="1"/>
    </xf>
    <xf numFmtId="0" fontId="5" fillId="5" borderId="4" pivotButton="0" quotePrefix="0" xfId="0"/>
    <xf numFmtId="0" fontId="21" fillId="0" borderId="4" pivotButton="0" quotePrefix="0" xfId="0"/>
    <xf numFmtId="0" fontId="0" fillId="0" borderId="2" pivotButton="0" quotePrefix="0" xfId="0"/>
    <xf numFmtId="0" fontId="7" fillId="0" borderId="4" pivotButton="0" quotePrefix="0" xfId="0"/>
    <xf numFmtId="0" fontId="10" fillId="0" borderId="4" pivotButton="0" quotePrefix="0" xfId="0"/>
    <xf numFmtId="0" fontId="26" fillId="8" borderId="2" applyAlignment="1" pivotButton="0" quotePrefix="0" xfId="0">
      <alignment horizontal="left" vertical="center" wrapText="1"/>
    </xf>
    <xf numFmtId="0" fontId="27" fillId="9" borderId="2" applyAlignment="1" pivotButton="0" quotePrefix="0" xfId="0">
      <alignment horizontal="left" vertical="center" wrapText="1"/>
    </xf>
    <xf numFmtId="0" fontId="28" fillId="5" borderId="2" applyAlignment="1" pivotButton="0" quotePrefix="0" xfId="0">
      <alignment horizontal="left" vertical="center" wrapText="1"/>
    </xf>
    <xf numFmtId="0" fontId="29" fillId="10" borderId="2" applyAlignment="1" pivotButton="0" quotePrefix="0" xfId="0">
      <alignment horizontal="left" vertical="center" wrapText="1"/>
    </xf>
    <xf numFmtId="0" fontId="30" fillId="11" borderId="2" applyAlignment="1" pivotButton="0" quotePrefix="0" xfId="0">
      <alignment horizontal="left" vertical="center" wrapText="1"/>
    </xf>
    <xf numFmtId="0" fontId="31" fillId="12" borderId="2" applyAlignment="1" pivotButton="0" quotePrefix="0" xfId="0">
      <alignment horizontal="left" vertical="center" wrapText="1"/>
    </xf>
    <xf numFmtId="0" fontId="10" fillId="0" borderId="2" applyAlignment="1" pivotButton="0" quotePrefix="0" xfId="0">
      <alignment horizontal="center" vertical="center" wrapText="1"/>
    </xf>
    <xf numFmtId="0" fontId="10" fillId="0" borderId="2" pivotButton="0" quotePrefix="0" xfId="0"/>
    <xf numFmtId="0" fontId="21" fillId="0" borderId="2" pivotButton="0" quotePrefix="0" xfId="0"/>
    <xf numFmtId="0" fontId="5" fillId="13" borderId="2" applyAlignment="1" pivotButton="0" quotePrefix="0" xfId="0">
      <alignment horizontal="center" vertical="center" wrapText="1"/>
    </xf>
    <xf numFmtId="0" fontId="5" fillId="15" borderId="2" applyAlignment="1" pivotButton="0" quotePrefix="0" xfId="0">
      <alignment horizontal="center" vertical="center" wrapText="1"/>
    </xf>
    <xf numFmtId="3" fontId="5" fillId="14" borderId="2" applyAlignment="1" pivotButton="0" quotePrefix="0" xfId="0">
      <alignment horizontal="center" vertical="center" wrapText="1"/>
    </xf>
    <xf numFmtId="3" fontId="19" fillId="9" borderId="2" applyAlignment="1" pivotButton="0" quotePrefix="0" xfId="0">
      <alignment horizontal="center" vertical="center" wrapText="1"/>
    </xf>
    <xf numFmtId="3" fontId="20" fillId="5" borderId="2" applyAlignment="1" pivotButton="0" quotePrefix="0" xfId="0">
      <alignment horizontal="center" vertical="center" wrapText="1"/>
    </xf>
    <xf numFmtId="0" fontId="32" fillId="0" borderId="2" applyAlignment="1" pivotButton="0" quotePrefix="0" xfId="0">
      <alignment horizontal="center" vertical="center" wrapText="1"/>
    </xf>
    <xf numFmtId="0" fontId="5" fillId="0" borderId="4" applyAlignment="1" pivotButton="0" quotePrefix="0" xfId="0">
      <alignment horizontal="left" vertical="center" wrapText="1"/>
    </xf>
    <xf numFmtId="0" fontId="5" fillId="15" borderId="4" applyAlignment="1" pivotButton="0" quotePrefix="0" xfId="0">
      <alignment horizontal="left" vertical="center" wrapText="1"/>
    </xf>
    <xf numFmtId="0" fontId="5" fillId="13" borderId="2" applyAlignment="1" pivotButton="0" quotePrefix="0" xfId="0">
      <alignment horizontal="left" vertical="center" wrapText="1"/>
    </xf>
    <xf numFmtId="0" fontId="10" fillId="13" borderId="2" applyAlignment="1" pivotButton="0" quotePrefix="0" xfId="0">
      <alignment horizontal="center" vertical="center" wrapText="1"/>
    </xf>
    <xf numFmtId="0" fontId="5" fillId="17" borderId="4"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
  <sheetViews>
    <sheetView showGridLines="1" workbookViewId="0">
      <selection activeCell="A1" sqref="A1"/>
    </sheetView>
  </sheetViews>
  <sheetFormatPr baseColWidth="8" defaultRowHeight="15" outlineLevelCol="0"/>
  <cols>
    <col width="4" customWidth="1" min="1" max="1"/>
    <col width="26" customWidth="1" min="2" max="2"/>
    <col width="25" customWidth="1" min="3" max="3"/>
    <col width="28" customWidth="1" min="4" max="4"/>
    <col width="60" customWidth="1" min="5" max="5"/>
    <col width="25" customWidth="1" min="6" max="6"/>
    <col width="26" customWidth="1" min="7" max="7"/>
    <col width="34" customWidth="1" min="8" max="8"/>
    <col width="27" customWidth="1" min="9" max="9"/>
  </cols>
  <sheetData>
    <row r="1"/>
    <row r="2" ht="32" customHeight="1">
      <c r="B2" s="1" t="inlineStr">
        <is>
          <t>CHIKO_LIFTS : THE 13-WEEK STRENGTHBENDER SYSTEM</t>
        </is>
      </c>
    </row>
    <row r="3" ht="20" customHeight="1">
      <c r="B3" s="2" t="inlineStr">
        <is>
          <t>Official Periodized Strength &amp; Peaking Protocol — Dynamic Master Workbook (Program 2.0)</t>
        </is>
      </c>
    </row>
    <row r="4"/>
    <row r="5">
      <c r="B5" s="3" t="inlineStr">
        <is>
          <t>1. ATHLETE 1RM MAXES (ENTER YOUR NUMBERS)</t>
        </is>
      </c>
      <c r="G5" s="3" t="inlineStr">
        <is>
          <t>PROGRAM RULES &amp; AUTOREGULATION</t>
        </is>
      </c>
    </row>
    <row r="6" ht="20" customHeight="1">
      <c r="B6" s="4" t="inlineStr">
        <is>
          <t>Lift</t>
        </is>
      </c>
      <c r="C6" s="4" t="inlineStr">
        <is>
          <t>Your 1RM Max (lbs)</t>
        </is>
      </c>
      <c r="D6" s="4" t="inlineStr">
        <is>
          <t>Program Calculation Basis</t>
        </is>
      </c>
      <c r="E6" s="4" t="inlineStr">
        <is>
          <t>Rounding Rule</t>
        </is>
      </c>
      <c r="G6" s="5" t="inlineStr">
        <is>
          <t>• The 5% Drop Rule</t>
        </is>
      </c>
    </row>
    <row r="7" ht="28" customHeight="1">
      <c r="B7" s="6" t="inlineStr">
        <is>
          <t>Back Squat</t>
        </is>
      </c>
      <c r="C7" s="7" t="n">
        <v>325</v>
      </c>
      <c r="D7" s="8" t="inlineStr">
        <is>
          <t>Direct 1RM (100% Base)</t>
        </is>
      </c>
      <c r="E7" s="9" t="inlineStr">
        <is>
          <t>All % loads round to nearest 5 lbs: =ROUND(C7*pct/5, 0)*5</t>
        </is>
      </c>
      <c r="G7" s="10" t="inlineStr">
        <is>
          <t>If the first working set of any top set feels &gt;1 RPE point harder than prescribed, or bar speed visibly drops, DROP THE LOAD 5% and complete prescribed sets/reps. Never grind.</t>
        </is>
      </c>
    </row>
    <row r="8" ht="20" customHeight="1">
      <c r="B8" s="6" t="inlineStr">
        <is>
          <t>Bench Press</t>
        </is>
      </c>
      <c r="C8" s="7" t="n">
        <v>225</v>
      </c>
      <c r="D8" s="8" t="inlineStr">
        <is>
          <t>Direct 1RM (100% Base)</t>
        </is>
      </c>
      <c r="E8" s="9" t="inlineStr">
        <is>
          <t>All % loads round to nearest 5 lbs: =ROUND(C8*pct/5, 0)*5</t>
        </is>
      </c>
      <c r="G8" s="5" t="inlineStr">
        <is>
          <t>• Direct 1RM Basis</t>
        </is>
      </c>
    </row>
    <row r="9" ht="28" customHeight="1">
      <c r="B9" s="6" t="inlineStr">
        <is>
          <t>Deadlift</t>
        </is>
      </c>
      <c r="C9" s="7" t="n">
        <v>405</v>
      </c>
      <c r="D9" s="8" t="inlineStr">
        <is>
          <t>Direct 1RM (100% Base)</t>
        </is>
      </c>
      <c r="E9" s="9" t="inlineStr">
        <is>
          <t>All % loads round to nearest 5 lbs: =ROUND(C9*pct/5, 0)*5</t>
        </is>
      </c>
      <c r="G9" s="10" t="inlineStr">
        <is>
          <t>Loads are calculated directly from your actual entered 1RM maxes, matching the StrengthBender app (Program 2.0).</t>
        </is>
      </c>
    </row>
    <row r="10" ht="20" customHeight="1">
      <c r="B10" s="6" t="inlineStr">
        <is>
          <t>Bent-Over Row (Base W1)</t>
        </is>
      </c>
      <c r="C10" s="7" t="n">
        <v>135</v>
      </c>
      <c r="D10" s="8" t="inlineStr">
        <is>
          <t>Linear Load Progression</t>
        </is>
      </c>
      <c r="E10" s="9" t="inlineStr">
        <is>
          <t>Progresses +5 lbs/week: =C10 + (Week - 1)*5</t>
        </is>
      </c>
      <c r="G10" s="5" t="inlineStr">
        <is>
          <t>• RPE Scale Guide</t>
        </is>
      </c>
    </row>
    <row r="11" ht="42" customHeight="1">
      <c r="B11" s="11" t="inlineStr">
        <is>
          <t>💡 Blue cells above (C7:C10) are interactive. Change them anytime; all 268 exercise loads across the workbook update automatically!</t>
        </is>
      </c>
      <c r="G11" s="10" t="inlineStr">
        <is>
          <t>@6: 4 reps in reserve (crisp speed)
@7: 3 reps in reserve (clean, controlled)
@8: 2 reps in reserve (solid effort)
@8.5-9: 1-2 reps in reserve (heavy single)
@10: 0 reps in reserve (PR test)</t>
        </is>
      </c>
    </row>
    <row r="12" ht="20" customHeight="1">
      <c r="G12" s="5" t="inlineStr">
        <is>
          <t>• Deloads (Weeks 5 &amp; 10)</t>
        </is>
      </c>
    </row>
    <row r="13" ht="28" customHeight="1">
      <c r="B13" s="3" t="inlineStr">
        <is>
          <t>2. 13-WEEK MACROCYCLE PERIODIZATION ROADMAP</t>
        </is>
      </c>
    </row>
    <row r="14" ht="24" customHeight="1">
      <c r="B14" s="4" t="inlineStr">
        <is>
          <t>Week</t>
        </is>
      </c>
      <c r="C14" s="4" t="inlineStr">
        <is>
          <t>Phase</t>
        </is>
      </c>
      <c r="D14" s="4" t="inlineStr">
        <is>
          <t>Strategic Objective &amp; Role in Cycle</t>
        </is>
      </c>
      <c r="G14" s="4" t="inlineStr">
        <is>
          <t>Primary Prescription</t>
        </is>
      </c>
      <c r="I14" s="4" t="inlineStr">
        <is>
          <t>Target RPE</t>
        </is>
      </c>
    </row>
    <row r="15" ht="22" customHeight="1">
      <c r="B15" s="8" t="inlineStr">
        <is>
          <t>W1</t>
        </is>
      </c>
      <c r="C15" s="12" t="inlineStr">
        <is>
          <t>Accumulation</t>
        </is>
      </c>
      <c r="D15" s="13" t="inlineStr">
        <is>
          <t>Base building: Groove movement patterns, top single @85%, back-offs 4x4 @70%, bent-over row base.</t>
        </is>
      </c>
      <c r="G15" s="8" t="inlineStr">
        <is>
          <t>Top 1x1 @85% (RPE 7.5-8) + 4x4 @70%</t>
        </is>
      </c>
      <c r="I15" s="14" t="inlineStr">
        <is>
          <t>RPE 7-8</t>
        </is>
      </c>
    </row>
    <row r="16" ht="22" customHeight="1">
      <c r="B16" s="8" t="inlineStr">
        <is>
          <t>W2</t>
        </is>
      </c>
      <c r="C16" s="12" t="inlineStr">
        <is>
          <t>Accumulation</t>
        </is>
      </c>
      <c r="D16" s="13" t="inlineStr">
        <is>
          <t>Volume accumulation: +1 set on back-off, +5 lb on variants &amp; rows.</t>
        </is>
      </c>
      <c r="G16" s="8" t="inlineStr">
        <is>
          <t>Top 1x1 @85% + 5x4 @70%</t>
        </is>
      </c>
      <c r="I16" s="14" t="inlineStr">
        <is>
          <t>RPE 7-8</t>
        </is>
      </c>
    </row>
    <row r="17" ht="22" customHeight="1">
      <c r="B17" s="8" t="inlineStr">
        <is>
          <t>W3</t>
        </is>
      </c>
      <c r="C17" s="12" t="inlineStr">
        <is>
          <t>Accumulation</t>
        </is>
      </c>
      <c r="D17" s="13" t="inlineStr">
        <is>
          <t>Volume peak start: Sets rise on Squat/Bench, Deadlift picks up 4th set, variants +10 lb.</t>
        </is>
      </c>
      <c r="G17" s="8" t="inlineStr">
        <is>
          <t>Top 1x1 @86% + 5x4 @71%</t>
        </is>
      </c>
      <c r="I17" s="14" t="inlineStr">
        <is>
          <t>RPE 7-8</t>
        </is>
      </c>
    </row>
    <row r="18" ht="22" customHeight="1">
      <c r="B18" s="8" t="inlineStr">
        <is>
          <t>W4</t>
        </is>
      </c>
      <c r="C18" s="15" t="inlineStr">
        <is>
          <t>Accumulation Peak</t>
        </is>
      </c>
      <c r="D18" s="13" t="inlineStr">
        <is>
          <t>Block fatigue peak: Heaviest accumulation sessions before reset. Top single @87%.</t>
        </is>
      </c>
      <c r="G18" s="8" t="inlineStr">
        <is>
          <t>Top 1x1 @87% + 5x4 @72%</t>
        </is>
      </c>
      <c r="I18" s="14" t="inlineStr">
        <is>
          <t>RPE 8</t>
        </is>
      </c>
    </row>
    <row r="19" ht="22" customHeight="1">
      <c r="B19" s="8" t="inlineStr">
        <is>
          <t>W5</t>
        </is>
      </c>
      <c r="C19" s="16" t="inlineStr">
        <is>
          <t>Deload</t>
        </is>
      </c>
      <c r="D19" s="13" t="inlineStr">
        <is>
          <t>Fatigue dissipation: Deload volume and intensity to absorb training stress.</t>
        </is>
      </c>
      <c r="G19" s="8" t="inlineStr">
        <is>
          <t>2-3x3 @ 55-60% Max</t>
        </is>
      </c>
      <c r="I19" s="14" t="inlineStr">
        <is>
          <t>RPE 6 (Recovery)</t>
        </is>
      </c>
    </row>
    <row r="20" ht="22" customHeight="1">
      <c r="B20" s="8" t="inlineStr">
        <is>
          <t>W6</t>
        </is>
      </c>
      <c r="C20" s="17" t="inlineStr">
        <is>
          <t>Intensification</t>
        </is>
      </c>
      <c r="D20" s="13" t="inlineStr">
        <is>
          <t>Neural drive shift: Volume drops, bar intensity jumps into 90s on top singles.</t>
        </is>
      </c>
      <c r="G20" s="8" t="inlineStr">
        <is>
          <t>Top 1x1 @90% + 4x3 @75%</t>
        </is>
      </c>
      <c r="I20" s="14" t="inlineStr">
        <is>
          <t>RPE 8 (Rested)</t>
        </is>
      </c>
    </row>
    <row r="21" ht="22" customHeight="1">
      <c r="B21" s="8" t="inlineStr">
        <is>
          <t>W7</t>
        </is>
      </c>
      <c r="C21" s="17" t="inlineStr">
        <is>
          <t>Intensification</t>
        </is>
      </c>
      <c r="D21" s="13" t="inlineStr">
        <is>
          <t>Doubles transition: Heavy doubles commence across main lifts, high-bar squat introduced.</t>
        </is>
      </c>
      <c r="G21" s="8" t="inlineStr">
        <is>
          <t>Top 1x1 @91% + 4x3 @76%</t>
        </is>
      </c>
      <c r="I21" s="14" t="inlineStr">
        <is>
          <t>RPE 8</t>
        </is>
      </c>
    </row>
    <row r="22" ht="22" customHeight="1">
      <c r="B22" s="8" t="inlineStr">
        <is>
          <t>W8</t>
        </is>
      </c>
      <c r="C22" s="17" t="inlineStr">
        <is>
          <t>Intensification</t>
        </is>
      </c>
      <c r="D22" s="13" t="inlineStr">
        <is>
          <t>Heavy doubles threshold: Competition attempt weight familiarity, top single @92%.</t>
        </is>
      </c>
      <c r="G22" s="8" t="inlineStr">
        <is>
          <t>Top 1x1 @92% + 4x2 @78%</t>
        </is>
      </c>
      <c r="I22" s="14" t="inlineStr">
        <is>
          <t>RPE 8-9 (Heavy)</t>
        </is>
      </c>
    </row>
    <row r="23" ht="22" customHeight="1">
      <c r="B23" s="8" t="inlineStr">
        <is>
          <t>W9</t>
        </is>
      </c>
      <c r="C23" s="18" t="inlineStr">
        <is>
          <t>Top of Intensification</t>
        </is>
      </c>
      <c r="D23" s="13" t="inlineStr">
        <is>
          <t>Final near-max check: Controlled heavy doubles + speed-gated optional singles.</t>
        </is>
      </c>
      <c r="G23" s="8" t="inlineStr">
        <is>
          <t>Top 1x1 @92% + 3x2 @80%</t>
        </is>
      </c>
      <c r="I23" s="14" t="inlineStr">
        <is>
          <t>RPE 8-9 (Strict Gate)</t>
        </is>
      </c>
    </row>
    <row r="24" ht="22" customHeight="1">
      <c r="B24" s="8" t="inlineStr">
        <is>
          <t>W10</t>
        </is>
      </c>
      <c r="C24" s="16" t="inlineStr">
        <is>
          <t>Deload</t>
        </is>
      </c>
      <c r="D24" s="13" t="inlineStr">
        <is>
          <t>Pre-peak reset: Flush nervous system fatigue and supercompensate before peaking.</t>
        </is>
      </c>
      <c r="G24" s="8" t="inlineStr">
        <is>
          <t>2-3x2 @ 60% Max</t>
        </is>
      </c>
      <c r="I24" s="14" t="inlineStr">
        <is>
          <t>RPE 6 (Recovery)</t>
        </is>
      </c>
    </row>
    <row r="25" ht="22" customHeight="1">
      <c r="B25" s="8" t="inlineStr">
        <is>
          <t>W11</t>
        </is>
      </c>
      <c r="C25" s="19" t="inlineStr">
        <is>
          <t>Peak / Realization</t>
        </is>
      </c>
      <c r="D25" s="13" t="inlineStr">
        <is>
          <t>Heavy single realization: 90% top single + back-off doubles at 82%. Accessory volume cut.</t>
        </is>
      </c>
      <c r="G25" s="8" t="inlineStr">
        <is>
          <t>Top 1x1 @90% + 3x2 @82%</t>
        </is>
      </c>
      <c r="I25" s="14" t="inlineStr">
        <is>
          <t>RPE 8</t>
        </is>
      </c>
    </row>
    <row r="26" ht="22" customHeight="1">
      <c r="B26" s="8" t="inlineStr">
        <is>
          <t>W12</t>
        </is>
      </c>
      <c r="C26" s="20" t="inlineStr">
        <is>
          <t>Taper</t>
        </is>
      </c>
      <c r="D26" s="13" t="inlineStr">
        <is>
          <t>Sharpening taper: Neuromuscular readiness without fatigue; crisp speed singles &amp; lockout.</t>
        </is>
      </c>
      <c r="G26" s="8" t="inlineStr">
        <is>
          <t>1x1 @85% + 2x2 @75%</t>
        </is>
      </c>
      <c r="I26" s="14" t="inlineStr">
        <is>
          <t>RPE 7-7.5 (Speed only)</t>
        </is>
      </c>
    </row>
    <row r="27" ht="22" customHeight="1">
      <c r="B27" s="8" t="inlineStr">
        <is>
          <t>W13</t>
        </is>
      </c>
      <c r="C27" s="21" t="inlineStr">
        <is>
          <t>Testing</t>
        </is>
      </c>
      <c r="D27" s="13" t="inlineStr">
        <is>
          <t>PR Test Week (8 Days): Light activation Day 1, individual PR days (Bench D2, Squat D4, DL D8) with rest separation.</t>
        </is>
      </c>
      <c r="G27" s="8" t="inlineStr">
        <is>
          <t>Openers @ 90% -&gt; 2nd/3rd PR Attempts</t>
        </is>
      </c>
      <c r="I27" s="14" t="inlineStr">
        <is>
          <t>RPE 9.5-10 (All-Out PRs)</t>
        </is>
      </c>
    </row>
    <row r="28"/>
    <row r="29"/>
    <row r="30">
      <c r="B30" s="3" t="inlineStr">
        <is>
          <t>3. PROJECTED PR TARGETS (13-WEEK ADAPTATION MODEL)</t>
        </is>
      </c>
    </row>
    <row r="31" ht="24" customHeight="1">
      <c r="B31" s="4" t="inlineStr">
        <is>
          <t>Lift</t>
        </is>
      </c>
      <c r="C31" s="4" t="inlineStr">
        <is>
          <t>Current 1RM</t>
        </is>
      </c>
      <c r="D31" s="4" t="inlineStr">
        <is>
          <t>Est. Weekly Adaptation</t>
        </is>
      </c>
      <c r="E31" s="4" t="inlineStr">
        <is>
          <t>Conservative PR (+2.5%)</t>
        </is>
      </c>
      <c r="F31" s="4" t="inlineStr">
        <is>
          <t>Target Base PR (+5%)</t>
        </is>
      </c>
      <c r="G31" s="4" t="inlineStr">
        <is>
          <t>Aggressive PR (+7.5%)</t>
        </is>
      </c>
      <c r="H31" s="4" t="inlineStr">
        <is>
          <t>Testing Session</t>
        </is>
      </c>
    </row>
    <row r="32" ht="24" customHeight="1">
      <c r="B32" s="22" t="inlineStr">
        <is>
          <t>Back Squat</t>
        </is>
      </c>
      <c r="C32" s="23">
        <f>C7</f>
        <v/>
      </c>
      <c r="D32" s="14" t="inlineStr">
        <is>
          <t>+0.4% / week</t>
        </is>
      </c>
      <c r="E32" s="24">
        <f>ROUND(C7*1.025/5, 0)*5</f>
        <v/>
      </c>
      <c r="F32" s="25">
        <f>ROUND(C7*1.05/5, 0)*5</f>
        <v/>
      </c>
      <c r="G32" s="26">
        <f>ROUND(C7*1.075/5, 0)*5</f>
        <v/>
      </c>
      <c r="H32" s="27" t="inlineStr">
        <is>
          <t>Week 13 — Day 4 (Squat Test)</t>
        </is>
      </c>
    </row>
    <row r="33" ht="24" customHeight="1">
      <c r="B33" s="22" t="inlineStr">
        <is>
          <t>Bench Press</t>
        </is>
      </c>
      <c r="C33" s="23">
        <f>C8</f>
        <v/>
      </c>
      <c r="D33" s="14" t="inlineStr">
        <is>
          <t>+0.4% / week</t>
        </is>
      </c>
      <c r="E33" s="24">
        <f>ROUND(C8*1.025/5, 0)*5</f>
        <v/>
      </c>
      <c r="F33" s="25">
        <f>ROUND(C8*1.05/5, 0)*5</f>
        <v/>
      </c>
      <c r="G33" s="26">
        <f>ROUND(C8*1.075/5, 0)*5</f>
        <v/>
      </c>
      <c r="H33" s="27" t="inlineStr">
        <is>
          <t>Week 13 — Day 2 (Bench Test)</t>
        </is>
      </c>
    </row>
    <row r="34" ht="24" customHeight="1">
      <c r="B34" s="22" t="inlineStr">
        <is>
          <t>Deadlift</t>
        </is>
      </c>
      <c r="C34" s="23">
        <f>C9</f>
        <v/>
      </c>
      <c r="D34" s="14" t="inlineStr">
        <is>
          <t>+0.4% / week</t>
        </is>
      </c>
      <c r="E34" s="24">
        <f>ROUND(C9*1.025/5, 0)*5</f>
        <v/>
      </c>
      <c r="F34" s="25">
        <f>ROUND(C9*1.05/5, 0)*5</f>
        <v/>
      </c>
      <c r="G34" s="26">
        <f>ROUND(C9*1.075/5, 0)*5</f>
        <v/>
      </c>
      <c r="H34" s="27" t="inlineStr">
        <is>
          <t>Week 13 — Day 8 (Deadlift Test)</t>
        </is>
      </c>
    </row>
  </sheetData>
  <mergeCells count="43">
    <mergeCell ref="G21:H21"/>
    <mergeCell ref="G10:I10"/>
    <mergeCell ref="D27:F27"/>
    <mergeCell ref="G6:I6"/>
    <mergeCell ref="G13:I13"/>
    <mergeCell ref="G27:H27"/>
    <mergeCell ref="B3:I3"/>
    <mergeCell ref="D17:F17"/>
    <mergeCell ref="G23:H23"/>
    <mergeCell ref="B5:E5"/>
    <mergeCell ref="D16:F16"/>
    <mergeCell ref="G17:H17"/>
    <mergeCell ref="G5:I5"/>
    <mergeCell ref="B2:I2"/>
    <mergeCell ref="D18:F18"/>
    <mergeCell ref="G19:H19"/>
    <mergeCell ref="G18:H18"/>
    <mergeCell ref="D25:F25"/>
    <mergeCell ref="D15:F15"/>
    <mergeCell ref="D24:F24"/>
    <mergeCell ref="B13:I13"/>
    <mergeCell ref="D14:F14"/>
    <mergeCell ref="D23:F23"/>
    <mergeCell ref="G24:H24"/>
    <mergeCell ref="G15:H15"/>
    <mergeCell ref="G9:I9"/>
    <mergeCell ref="B11:E11"/>
    <mergeCell ref="G14:H14"/>
    <mergeCell ref="D26:F26"/>
    <mergeCell ref="G12:I12"/>
    <mergeCell ref="D20:F20"/>
    <mergeCell ref="G26:H26"/>
    <mergeCell ref="G11:I11"/>
    <mergeCell ref="D19:F19"/>
    <mergeCell ref="G20:H20"/>
    <mergeCell ref="B30:I30"/>
    <mergeCell ref="G16:H16"/>
    <mergeCell ref="G25:H25"/>
    <mergeCell ref="D22:F22"/>
    <mergeCell ref="G8:I8"/>
    <mergeCell ref="G22:H22"/>
    <mergeCell ref="D21:F21"/>
    <mergeCell ref="G7: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71"/>
  <sheetViews>
    <sheetView showGridLines="1" workbookViewId="0">
      <pane ySplit="3" topLeftCell="A4" activePane="bottomLeft" state="frozen"/>
      <selection pane="bottomLeft" activeCell="A1" sqref="A1"/>
    </sheetView>
  </sheetViews>
  <sheetFormatPr baseColWidth="8" defaultRowHeight="15" outlineLevelCol="0"/>
  <cols>
    <col width="8" customWidth="1" min="1" max="1"/>
    <col width="25" customWidth="1" min="2" max="2"/>
    <col width="8" customWidth="1" min="3" max="3"/>
    <col width="43" customWidth="1" min="4" max="4"/>
    <col width="7" customWidth="1" min="5" max="5"/>
    <col width="33" customWidth="1" min="6" max="6"/>
    <col width="12" customWidth="1" min="7" max="7"/>
    <col width="12" customWidth="1" min="8" max="8"/>
    <col width="10" customWidth="1" min="9" max="9"/>
    <col width="17" customWidth="1" min="10" max="10"/>
    <col width="14" customWidth="1" min="11" max="11"/>
    <col width="50" customWidth="1" min="12" max="12"/>
    <col width="14" customWidth="1" min="13" max="13"/>
    <col width="160" customWidth="1" min="14" max="14"/>
    <col width="20" customWidth="1" min="15" max="15"/>
    <col width="24" customWidth="1" min="16" max="16"/>
    <col width="8" customWidth="1" min="17" max="17"/>
  </cols>
  <sheetData>
    <row r="1" ht="30" customHeight="1">
      <c r="A1" s="1" t="inlineStr">
        <is>
          <t>CHIKO_LIFTS : MASTER 13-WEEK TRAINING PROGRAM LOG</t>
        </is>
      </c>
    </row>
    <row r="2" ht="20" customHeight="1">
      <c r="A2" s="2" t="inlineStr">
        <is>
          <t>All 13 Weeks, 68 Sessions &amp; 268 Exercises — Dynamic Live Prescribed Load Formulas Linked Directly to Athlete 1RMs</t>
        </is>
      </c>
    </row>
    <row r="3" ht="26" customHeight="1">
      <c r="A3" s="4" t="inlineStr">
        <is>
          <t>Week</t>
        </is>
      </c>
      <c r="B3" s="4" t="inlineStr">
        <is>
          <t>Phase</t>
        </is>
      </c>
      <c r="C3" s="4" t="inlineStr">
        <is>
          <t>Day #</t>
        </is>
      </c>
      <c r="D3" s="4" t="inlineStr">
        <is>
          <t>Day Label / Focus</t>
        </is>
      </c>
      <c r="E3" s="4" t="inlineStr">
        <is>
          <t>Ex #</t>
        </is>
      </c>
      <c r="F3" s="4" t="inlineStr">
        <is>
          <t>Exercise Name</t>
        </is>
      </c>
      <c r="G3" s="4" t="inlineStr">
        <is>
          <t>Type</t>
        </is>
      </c>
      <c r="H3" s="4" t="inlineStr">
        <is>
          <t>Lift Ref</t>
        </is>
      </c>
      <c r="I3" s="4" t="inlineStr">
        <is>
          <t>Sets</t>
        </is>
      </c>
      <c r="J3" s="4" t="inlineStr">
        <is>
          <t>Reps</t>
        </is>
      </c>
      <c r="K3" s="4" t="inlineStr">
        <is>
          <t>% 1RM</t>
        </is>
      </c>
      <c r="L3" s="4" t="inlineStr">
        <is>
          <t>Prescribed Load (lbs)</t>
        </is>
      </c>
      <c r="M3" s="4" t="inlineStr">
        <is>
          <t>Target RPE</t>
        </is>
      </c>
      <c r="N3" s="4" t="inlineStr">
        <is>
          <t>Prescription / Execution Notes</t>
        </is>
      </c>
      <c r="O3" s="4" t="inlineStr">
        <is>
          <t>Actual Load (lbs)</t>
        </is>
      </c>
      <c r="P3" s="4" t="inlineStr">
        <is>
          <t>Actual Reps / Notes</t>
        </is>
      </c>
      <c r="Q3" s="4" t="inlineStr">
        <is>
          <t>Done?</t>
        </is>
      </c>
    </row>
    <row r="4" ht="22" customHeight="1">
      <c r="A4" s="28" t="n">
        <v>1</v>
      </c>
      <c r="B4" s="29" t="inlineStr">
        <is>
          <t>Accumulation</t>
        </is>
      </c>
      <c r="C4" s="30" t="n">
        <v>1</v>
      </c>
      <c r="D4" s="31" t="inlineStr">
        <is>
          <t>Monday — Squat</t>
        </is>
      </c>
      <c r="E4" s="32" t="n">
        <v>1</v>
      </c>
      <c r="F4" s="33" t="inlineStr">
        <is>
          <t>Back squat — top single</t>
        </is>
      </c>
      <c r="G4" s="34" t="inlineStr">
        <is>
          <t>Main Lift</t>
        </is>
      </c>
      <c r="H4" s="32" t="inlineStr">
        <is>
          <t>SQUAT</t>
        </is>
      </c>
      <c r="I4" s="28" t="n">
        <v>1</v>
      </c>
      <c r="J4" s="28" t="inlineStr">
        <is>
          <t>1</t>
        </is>
      </c>
      <c r="K4" s="28" t="inlineStr">
        <is>
          <t>85%</t>
        </is>
      </c>
      <c r="L4" s="35">
        <f>ROUND('Setup &amp; Dashboard'!$C$7*0.85/5, 0)*5</f>
        <v/>
      </c>
      <c r="M4" s="28" t="inlineStr">
        <is>
          <t>RPE 7.5-8</t>
        </is>
      </c>
      <c r="N4" s="36" t="inlineStr">
        <is>
          <t>Smooth single, no grind</t>
        </is>
      </c>
      <c r="O4" s="8" t="inlineStr"/>
      <c r="P4" s="13" t="inlineStr"/>
      <c r="Q4" s="14" t="inlineStr">
        <is>
          <t>[ ]</t>
        </is>
      </c>
    </row>
    <row r="5" ht="22" customHeight="1">
      <c r="A5" s="28" t="n">
        <v>1</v>
      </c>
      <c r="B5" s="29" t="inlineStr">
        <is>
          <t>Accumulation</t>
        </is>
      </c>
      <c r="C5" s="30" t="n">
        <v>1</v>
      </c>
      <c r="D5" s="31" t="inlineStr">
        <is>
          <t>Monday — Squat</t>
        </is>
      </c>
      <c r="E5" s="32" t="n">
        <v>2</v>
      </c>
      <c r="F5" s="33" t="inlineStr">
        <is>
          <t>Back squat — back-off</t>
        </is>
      </c>
      <c r="G5" s="34" t="inlineStr">
        <is>
          <t>Main Lift</t>
        </is>
      </c>
      <c r="H5" s="32" t="inlineStr">
        <is>
          <t>SQUAT</t>
        </is>
      </c>
      <c r="I5" s="28" t="n">
        <v>4</v>
      </c>
      <c r="J5" s="28" t="inlineStr">
        <is>
          <t>4</t>
        </is>
      </c>
      <c r="K5" s="28" t="inlineStr">
        <is>
          <t>70%</t>
        </is>
      </c>
      <c r="L5" s="35">
        <f>ROUND('Setup &amp; Dashboard'!$C$7*0.7/5, 0)*5</f>
        <v/>
      </c>
      <c r="M5" s="28" t="inlineStr">
        <is>
          <t>RPE 7</t>
        </is>
      </c>
      <c r="N5" s="37" t="inlineStr"/>
      <c r="O5" s="8" t="inlineStr"/>
      <c r="P5" s="13" t="inlineStr"/>
      <c r="Q5" s="14" t="inlineStr">
        <is>
          <t>[ ]</t>
        </is>
      </c>
    </row>
    <row r="6" ht="22" customHeight="1">
      <c r="A6" s="28" t="n">
        <v>1</v>
      </c>
      <c r="B6" s="29" t="inlineStr">
        <is>
          <t>Accumulation</t>
        </is>
      </c>
      <c r="C6" s="30" t="n">
        <v>1</v>
      </c>
      <c r="D6" s="31" t="inlineStr">
        <is>
          <t>Monday — Squat</t>
        </is>
      </c>
      <c r="E6" s="32" t="n">
        <v>3</v>
      </c>
      <c r="F6" s="31" t="inlineStr">
        <is>
          <t>Bulgarian split squat</t>
        </is>
      </c>
      <c r="G6" s="32" t="inlineStr">
        <is>
          <t>Accessory</t>
        </is>
      </c>
      <c r="H6" s="32" t="inlineStr">
        <is>
          <t>-</t>
        </is>
      </c>
      <c r="I6" s="30" t="n">
        <v>3</v>
      </c>
      <c r="J6" s="30" t="inlineStr">
        <is>
          <t>10/leg</t>
        </is>
      </c>
      <c r="K6" s="30" t="inlineStr"/>
      <c r="L6" s="32" t="inlineStr"/>
      <c r="M6" s="32" t="inlineStr"/>
      <c r="N6" s="37" t="inlineStr"/>
      <c r="O6" s="8" t="inlineStr"/>
      <c r="P6" s="13" t="inlineStr"/>
      <c r="Q6" s="14" t="inlineStr">
        <is>
          <t>[ ]</t>
        </is>
      </c>
    </row>
    <row r="7" ht="22" customHeight="1">
      <c r="A7" s="38" t="n">
        <v>1</v>
      </c>
      <c r="B7" s="29" t="inlineStr">
        <is>
          <t>Accumulation</t>
        </is>
      </c>
      <c r="C7" s="39" t="n">
        <v>1</v>
      </c>
      <c r="D7" s="40" t="inlineStr">
        <is>
          <t>Monday — Squat</t>
        </is>
      </c>
      <c r="E7" s="41" t="n">
        <v>4</v>
      </c>
      <c r="F7" s="40" t="inlineStr">
        <is>
          <t>Seated leg curl</t>
        </is>
      </c>
      <c r="G7" s="41" t="inlineStr">
        <is>
          <t>Accessory</t>
        </is>
      </c>
      <c r="H7" s="41" t="inlineStr">
        <is>
          <t>-</t>
        </is>
      </c>
      <c r="I7" s="39" t="n">
        <v>3</v>
      </c>
      <c r="J7" s="39" t="inlineStr">
        <is>
          <t>12</t>
        </is>
      </c>
      <c r="K7" s="39" t="inlineStr"/>
      <c r="L7" s="32" t="inlineStr"/>
      <c r="M7" s="41" t="inlineStr"/>
      <c r="N7" s="37" t="inlineStr"/>
      <c r="O7" s="8" t="inlineStr"/>
      <c r="P7" s="13" t="inlineStr"/>
      <c r="Q7" s="14" t="inlineStr">
        <is>
          <t>[ ]</t>
        </is>
      </c>
    </row>
    <row r="8" ht="22" customHeight="1">
      <c r="A8" s="28" t="n">
        <v>1</v>
      </c>
      <c r="B8" s="29" t="inlineStr">
        <is>
          <t>Accumulation</t>
        </is>
      </c>
      <c r="C8" s="30" t="n">
        <v>1</v>
      </c>
      <c r="D8" s="31" t="inlineStr">
        <is>
          <t>Monday — Squat</t>
        </is>
      </c>
      <c r="E8" s="32" t="n">
        <v>5</v>
      </c>
      <c r="F8" s="31" t="inlineStr">
        <is>
          <t>Pallof press</t>
        </is>
      </c>
      <c r="G8" s="32" t="inlineStr">
        <is>
          <t>Accessory</t>
        </is>
      </c>
      <c r="H8" s="32" t="inlineStr">
        <is>
          <t>-</t>
        </is>
      </c>
      <c r="I8" s="30" t="n">
        <v>3</v>
      </c>
      <c r="J8" s="30" t="inlineStr">
        <is>
          <t>10/side</t>
        </is>
      </c>
      <c r="K8" s="30" t="inlineStr"/>
      <c r="L8" s="32" t="inlineStr"/>
      <c r="M8" s="32" t="inlineStr"/>
      <c r="N8" s="37" t="inlineStr"/>
      <c r="O8" s="8" t="inlineStr"/>
      <c r="P8" s="13" t="inlineStr"/>
      <c r="Q8" s="14" t="inlineStr">
        <is>
          <t>[ ]</t>
        </is>
      </c>
    </row>
    <row r="9" ht="22" customHeight="1">
      <c r="A9" s="38" t="n">
        <v>1</v>
      </c>
      <c r="B9" s="29" t="inlineStr">
        <is>
          <t>Accumulation</t>
        </is>
      </c>
      <c r="C9" s="39" t="n">
        <v>1</v>
      </c>
      <c r="D9" s="40" t="inlineStr">
        <is>
          <t>Monday — Squat</t>
        </is>
      </c>
      <c r="E9" s="41" t="n">
        <v>6</v>
      </c>
      <c r="F9" s="40" t="inlineStr">
        <is>
          <t>Standing calf raise</t>
        </is>
      </c>
      <c r="G9" s="41" t="inlineStr">
        <is>
          <t>Accessory</t>
        </is>
      </c>
      <c r="H9" s="41" t="inlineStr">
        <is>
          <t>-</t>
        </is>
      </c>
      <c r="I9" s="39" t="n">
        <v>3</v>
      </c>
      <c r="J9" s="39" t="inlineStr">
        <is>
          <t>15</t>
        </is>
      </c>
      <c r="K9" s="39" t="inlineStr"/>
      <c r="L9" s="32" t="inlineStr"/>
      <c r="M9" s="41" t="inlineStr"/>
      <c r="N9" s="37" t="inlineStr"/>
      <c r="O9" s="8" t="inlineStr"/>
      <c r="P9" s="13" t="inlineStr"/>
      <c r="Q9" s="14" t="inlineStr">
        <is>
          <t>[ ]</t>
        </is>
      </c>
    </row>
    <row r="10" ht="22" customHeight="1">
      <c r="A10" s="28" t="n">
        <v>1</v>
      </c>
      <c r="B10" s="29" t="inlineStr">
        <is>
          <t>Accumulation</t>
        </is>
      </c>
      <c r="C10" s="30" t="n">
        <v>2</v>
      </c>
      <c r="D10" s="31" t="inlineStr">
        <is>
          <t>Tuesday — Bench</t>
        </is>
      </c>
      <c r="E10" s="32" t="n">
        <v>1</v>
      </c>
      <c r="F10" s="33" t="inlineStr">
        <is>
          <t>Bench press</t>
        </is>
      </c>
      <c r="G10" s="34" t="inlineStr">
        <is>
          <t>Main Lift</t>
        </is>
      </c>
      <c r="H10" s="32" t="inlineStr">
        <is>
          <t>BENCH</t>
        </is>
      </c>
      <c r="I10" s="28" t="n">
        <v>6</v>
      </c>
      <c r="J10" s="28" t="inlineStr">
        <is>
          <t>4</t>
        </is>
      </c>
      <c r="K10" s="28" t="inlineStr">
        <is>
          <t>70%</t>
        </is>
      </c>
      <c r="L10" s="35">
        <f>ROUND('Setup &amp; Dashboard'!$C$8*0.7/5, 0)*5</f>
        <v/>
      </c>
      <c r="M10" s="28" t="inlineStr">
        <is>
          <t>RPE 7</t>
        </is>
      </c>
      <c r="N10" s="37" t="inlineStr"/>
      <c r="O10" s="8" t="inlineStr"/>
      <c r="P10" s="13" t="inlineStr"/>
      <c r="Q10" s="14" t="inlineStr">
        <is>
          <t>[ ]</t>
        </is>
      </c>
    </row>
    <row r="11" ht="22" customHeight="1">
      <c r="A11" s="38" t="n">
        <v>1</v>
      </c>
      <c r="B11" s="29" t="inlineStr">
        <is>
          <t>Accumulation</t>
        </is>
      </c>
      <c r="C11" s="39" t="n">
        <v>2</v>
      </c>
      <c r="D11" s="40" t="inlineStr">
        <is>
          <t>Tuesday — Bench</t>
        </is>
      </c>
      <c r="E11" s="41" t="n">
        <v>2</v>
      </c>
      <c r="F11" s="40" t="inlineStr">
        <is>
          <t>Close-grip bench</t>
        </is>
      </c>
      <c r="G11" s="41" t="inlineStr">
        <is>
          <t>Accessory</t>
        </is>
      </c>
      <c r="H11" s="41" t="inlineStr">
        <is>
          <t>-</t>
        </is>
      </c>
      <c r="I11" s="39" t="n">
        <v>3</v>
      </c>
      <c r="J11" s="39" t="inlineStr">
        <is>
          <t>6</t>
        </is>
      </c>
      <c r="K11" s="39" t="inlineStr"/>
      <c r="L11" s="32" t="inlineStr"/>
      <c r="M11" s="38" t="inlineStr">
        <is>
          <t>RPE 7</t>
        </is>
      </c>
      <c r="N11" s="37" t="inlineStr"/>
      <c r="O11" s="8" t="inlineStr"/>
      <c r="P11" s="13" t="inlineStr"/>
      <c r="Q11" s="14" t="inlineStr">
        <is>
          <t>[ ]</t>
        </is>
      </c>
    </row>
    <row r="12" ht="22" customHeight="1">
      <c r="A12" s="28" t="n">
        <v>1</v>
      </c>
      <c r="B12" s="29" t="inlineStr">
        <is>
          <t>Accumulation</t>
        </is>
      </c>
      <c r="C12" s="30" t="n">
        <v>2</v>
      </c>
      <c r="D12" s="31" t="inlineStr">
        <is>
          <t>Tuesday — Bench</t>
        </is>
      </c>
      <c r="E12" s="32" t="n">
        <v>3</v>
      </c>
      <c r="F12" s="31" t="inlineStr">
        <is>
          <t>Incline DB press</t>
        </is>
      </c>
      <c r="G12" s="32" t="inlineStr">
        <is>
          <t>Accessory</t>
        </is>
      </c>
      <c r="H12" s="32" t="inlineStr">
        <is>
          <t>-</t>
        </is>
      </c>
      <c r="I12" s="30" t="n">
        <v>3</v>
      </c>
      <c r="J12" s="30" t="inlineStr">
        <is>
          <t>12</t>
        </is>
      </c>
      <c r="K12" s="30" t="inlineStr"/>
      <c r="L12" s="32" t="inlineStr"/>
      <c r="M12" s="32" t="inlineStr"/>
      <c r="N12" s="37" t="inlineStr"/>
      <c r="O12" s="8" t="inlineStr"/>
      <c r="P12" s="13" t="inlineStr"/>
      <c r="Q12" s="14" t="inlineStr">
        <is>
          <t>[ ]</t>
        </is>
      </c>
    </row>
    <row r="13" ht="22" customHeight="1">
      <c r="A13" s="38" t="n">
        <v>1</v>
      </c>
      <c r="B13" s="29" t="inlineStr">
        <is>
          <t>Accumulation</t>
        </is>
      </c>
      <c r="C13" s="39" t="n">
        <v>2</v>
      </c>
      <c r="D13" s="40" t="inlineStr">
        <is>
          <t>Tuesday — Bench</t>
        </is>
      </c>
      <c r="E13" s="41" t="n">
        <v>4</v>
      </c>
      <c r="F13" s="40" t="inlineStr">
        <is>
          <t>Triceps pressdown</t>
        </is>
      </c>
      <c r="G13" s="41" t="inlineStr">
        <is>
          <t>Accessory</t>
        </is>
      </c>
      <c r="H13" s="41" t="inlineStr">
        <is>
          <t>-</t>
        </is>
      </c>
      <c r="I13" s="39" t="n">
        <v>3</v>
      </c>
      <c r="J13" s="39" t="inlineStr">
        <is>
          <t>12</t>
        </is>
      </c>
      <c r="K13" s="39" t="inlineStr"/>
      <c r="L13" s="32" t="inlineStr"/>
      <c r="M13" s="41" t="inlineStr"/>
      <c r="N13" s="37" t="inlineStr"/>
      <c r="O13" s="8" t="inlineStr"/>
      <c r="P13" s="13" t="inlineStr"/>
      <c r="Q13" s="14" t="inlineStr">
        <is>
          <t>[ ]</t>
        </is>
      </c>
    </row>
    <row r="14" ht="22" customHeight="1">
      <c r="A14" s="28" t="n">
        <v>1</v>
      </c>
      <c r="B14" s="29" t="inlineStr">
        <is>
          <t>Accumulation</t>
        </is>
      </c>
      <c r="C14" s="30" t="n">
        <v>2</v>
      </c>
      <c r="D14" s="31" t="inlineStr">
        <is>
          <t>Tuesday — Bench</t>
        </is>
      </c>
      <c r="E14" s="32" t="n">
        <v>5</v>
      </c>
      <c r="F14" s="31" t="inlineStr">
        <is>
          <t>Face pull</t>
        </is>
      </c>
      <c r="G14" s="32" t="inlineStr">
        <is>
          <t>Accessory</t>
        </is>
      </c>
      <c r="H14" s="32" t="inlineStr">
        <is>
          <t>-</t>
        </is>
      </c>
      <c r="I14" s="30" t="n">
        <v>3</v>
      </c>
      <c r="J14" s="30" t="inlineStr">
        <is>
          <t>15</t>
        </is>
      </c>
      <c r="K14" s="30" t="inlineStr"/>
      <c r="L14" s="32" t="inlineStr"/>
      <c r="M14" s="32" t="inlineStr"/>
      <c r="N14" s="37" t="inlineStr"/>
      <c r="O14" s="8" t="inlineStr"/>
      <c r="P14" s="13" t="inlineStr"/>
      <c r="Q14" s="14" t="inlineStr">
        <is>
          <t>[ ]</t>
        </is>
      </c>
    </row>
    <row r="15" ht="22" customHeight="1">
      <c r="A15" s="28" t="n">
        <v>1</v>
      </c>
      <c r="B15" s="29" t="inlineStr">
        <is>
          <t>Accumulation</t>
        </is>
      </c>
      <c r="C15" s="30" t="n">
        <v>3</v>
      </c>
      <c r="D15" s="31" t="inlineStr">
        <is>
          <t>Thursday — Deadlift</t>
        </is>
      </c>
      <c r="E15" s="32" t="n">
        <v>1</v>
      </c>
      <c r="F15" s="33" t="inlineStr">
        <is>
          <t>Deadlift</t>
        </is>
      </c>
      <c r="G15" s="34" t="inlineStr">
        <is>
          <t>Main Lift</t>
        </is>
      </c>
      <c r="H15" s="32" t="inlineStr">
        <is>
          <t>DEADLIFT</t>
        </is>
      </c>
      <c r="I15" s="28" t="n">
        <v>3</v>
      </c>
      <c r="J15" s="28" t="inlineStr">
        <is>
          <t>4</t>
        </is>
      </c>
      <c r="K15" s="28" t="inlineStr">
        <is>
          <t>68%</t>
        </is>
      </c>
      <c r="L15" s="35">
        <f>ROUND('Setup &amp; Dashboard'!$C$9*0.68/5, 0)*5</f>
        <v/>
      </c>
      <c r="M15" s="28" t="inlineStr">
        <is>
          <t>RPE 7</t>
        </is>
      </c>
      <c r="N15" s="37" t="inlineStr"/>
      <c r="O15" s="8" t="inlineStr"/>
      <c r="P15" s="13" t="inlineStr"/>
      <c r="Q15" s="14" t="inlineStr">
        <is>
          <t>[ ]</t>
        </is>
      </c>
    </row>
    <row r="16" ht="22" customHeight="1">
      <c r="A16" s="28" t="n">
        <v>1</v>
      </c>
      <c r="B16" s="29" t="inlineStr">
        <is>
          <t>Accumulation</t>
        </is>
      </c>
      <c r="C16" s="30" t="n">
        <v>3</v>
      </c>
      <c r="D16" s="31" t="inlineStr">
        <is>
          <t>Thursday — Deadlift</t>
        </is>
      </c>
      <c r="E16" s="32" t="n">
        <v>2</v>
      </c>
      <c r="F16" s="33" t="inlineStr">
        <is>
          <t>1.5-rep deadlift (knee height)</t>
        </is>
      </c>
      <c r="G16" s="34" t="inlineStr">
        <is>
          <t>Main Lift</t>
        </is>
      </c>
      <c r="H16" s="32" t="inlineStr">
        <is>
          <t>DEADLIFT</t>
        </is>
      </c>
      <c r="I16" s="28" t="n">
        <v>3</v>
      </c>
      <c r="J16" s="28" t="inlineStr">
        <is>
          <t>3</t>
        </is>
      </c>
      <c r="K16" s="28" t="inlineStr">
        <is>
          <t>60%</t>
        </is>
      </c>
      <c r="L16" s="35">
        <f>ROUND('Setup &amp; Dashboard'!$C$9*0.6/5, 0)*5</f>
        <v/>
      </c>
      <c r="M16" s="32" t="inlineStr"/>
      <c r="N16" s="36" t="inlineStr">
        <is>
          <t>Reset every rep; lower to just below knee, return to lockout, then lower fully. W1 60% DL max; add +5 lb/week only if clean and ≤RPE 7. Deload: 2x3 @55% max.</t>
        </is>
      </c>
      <c r="O16" s="8" t="inlineStr"/>
      <c r="P16" s="13" t="inlineStr"/>
      <c r="Q16" s="14" t="inlineStr">
        <is>
          <t>[ ]</t>
        </is>
      </c>
    </row>
    <row r="17" ht="22" customHeight="1">
      <c r="A17" s="38" t="n">
        <v>1</v>
      </c>
      <c r="B17" s="29" t="inlineStr">
        <is>
          <t>Accumulation</t>
        </is>
      </c>
      <c r="C17" s="39" t="n">
        <v>3</v>
      </c>
      <c r="D17" s="40" t="inlineStr">
        <is>
          <t>Thursday — Deadlift</t>
        </is>
      </c>
      <c r="E17" s="41" t="n">
        <v>3</v>
      </c>
      <c r="F17" s="40" t="inlineStr">
        <is>
          <t>Reverse hyper</t>
        </is>
      </c>
      <c r="G17" s="41" t="inlineStr">
        <is>
          <t>Accessory</t>
        </is>
      </c>
      <c r="H17" s="41" t="inlineStr">
        <is>
          <t>-</t>
        </is>
      </c>
      <c r="I17" s="39" t="n">
        <v>2</v>
      </c>
      <c r="J17" s="39" t="inlineStr">
        <is>
          <t>15</t>
        </is>
      </c>
      <c r="K17" s="39" t="inlineStr"/>
      <c r="L17" s="32" t="inlineStr"/>
      <c r="M17" s="41" t="inlineStr"/>
      <c r="N17" s="37" t="inlineStr"/>
      <c r="O17" s="8" t="inlineStr"/>
      <c r="P17" s="13" t="inlineStr"/>
      <c r="Q17" s="14" t="inlineStr">
        <is>
          <t>[ ]</t>
        </is>
      </c>
    </row>
    <row r="18" ht="22" customHeight="1">
      <c r="A18" s="28" t="n">
        <v>1</v>
      </c>
      <c r="B18" s="29" t="inlineStr">
        <is>
          <t>Accumulation</t>
        </is>
      </c>
      <c r="C18" s="30" t="n">
        <v>3</v>
      </c>
      <c r="D18" s="31" t="inlineStr">
        <is>
          <t>Thursday — Deadlift</t>
        </is>
      </c>
      <c r="E18" s="32" t="n">
        <v>4</v>
      </c>
      <c r="F18" s="31" t="inlineStr">
        <is>
          <t>Jefferson curl</t>
        </is>
      </c>
      <c r="G18" s="32" t="inlineStr">
        <is>
          <t>Accessory</t>
        </is>
      </c>
      <c r="H18" s="32" t="inlineStr">
        <is>
          <t>-</t>
        </is>
      </c>
      <c r="I18" s="30" t="n">
        <v>2</v>
      </c>
      <c r="J18" s="30" t="inlineStr">
        <is>
          <t>8</t>
        </is>
      </c>
      <c r="K18" s="30" t="inlineStr"/>
      <c r="L18" s="32" t="inlineStr"/>
      <c r="M18" s="32" t="inlineStr"/>
      <c r="N18" s="37" t="inlineStr"/>
      <c r="O18" s="8" t="inlineStr"/>
      <c r="P18" s="13" t="inlineStr"/>
      <c r="Q18" s="14" t="inlineStr">
        <is>
          <t>[ ]</t>
        </is>
      </c>
    </row>
    <row r="19" ht="22" customHeight="1">
      <c r="A19" s="28" t="n">
        <v>1</v>
      </c>
      <c r="B19" s="29" t="inlineStr">
        <is>
          <t>Accumulation</t>
        </is>
      </c>
      <c r="C19" s="30" t="n">
        <v>4</v>
      </c>
      <c r="D19" s="31" t="inlineStr">
        <is>
          <t>Friday — Bench variant / upper body</t>
        </is>
      </c>
      <c r="E19" s="32" t="n">
        <v>1</v>
      </c>
      <c r="F19" s="33" t="inlineStr">
        <is>
          <t>Tempo bench (3-1-1)</t>
        </is>
      </c>
      <c r="G19" s="34" t="inlineStr">
        <is>
          <t>Main Lift</t>
        </is>
      </c>
      <c r="H19" s="32" t="inlineStr">
        <is>
          <t>BENCH</t>
        </is>
      </c>
      <c r="I19" s="28" t="n">
        <v>4</v>
      </c>
      <c r="J19" s="28" t="inlineStr">
        <is>
          <t>4</t>
        </is>
      </c>
      <c r="K19" s="28" t="inlineStr">
        <is>
          <t>65%</t>
        </is>
      </c>
      <c r="L19" s="35">
        <f>ROUND('Setup &amp; Dashboard'!$C$8*0.65/5, 0)*5</f>
        <v/>
      </c>
      <c r="M19" s="28" t="inlineStr">
        <is>
          <t>RPE 6-7</t>
        </is>
      </c>
      <c r="N19" s="37" t="inlineStr"/>
      <c r="O19" s="8" t="inlineStr"/>
      <c r="P19" s="13" t="inlineStr"/>
      <c r="Q19" s="14" t="inlineStr">
        <is>
          <t>[ ]</t>
        </is>
      </c>
    </row>
    <row r="20" ht="22" customHeight="1">
      <c r="A20" s="28" t="n">
        <v>1</v>
      </c>
      <c r="B20" s="29" t="inlineStr">
        <is>
          <t>Accumulation</t>
        </is>
      </c>
      <c r="C20" s="30" t="n">
        <v>4</v>
      </c>
      <c r="D20" s="31" t="inlineStr">
        <is>
          <t>Friday — Bench variant / upper body</t>
        </is>
      </c>
      <c r="E20" s="32" t="n">
        <v>2</v>
      </c>
      <c r="F20" s="31" t="inlineStr">
        <is>
          <t>Lat pulldown</t>
        </is>
      </c>
      <c r="G20" s="32" t="inlineStr">
        <is>
          <t>Accessory</t>
        </is>
      </c>
      <c r="H20" s="32" t="inlineStr">
        <is>
          <t>-</t>
        </is>
      </c>
      <c r="I20" s="30" t="n">
        <v>3</v>
      </c>
      <c r="J20" s="30" t="inlineStr">
        <is>
          <t>12</t>
        </is>
      </c>
      <c r="K20" s="30" t="inlineStr"/>
      <c r="L20" s="32" t="inlineStr"/>
      <c r="M20" s="32" t="inlineStr"/>
      <c r="N20" s="37" t="inlineStr"/>
      <c r="O20" s="8" t="inlineStr"/>
      <c r="P20" s="13" t="inlineStr"/>
      <c r="Q20" s="14" t="inlineStr">
        <is>
          <t>[ ]</t>
        </is>
      </c>
    </row>
    <row r="21" ht="22" customHeight="1">
      <c r="A21" s="38" t="n">
        <v>1</v>
      </c>
      <c r="B21" s="29" t="inlineStr">
        <is>
          <t>Accumulation</t>
        </is>
      </c>
      <c r="C21" s="39" t="n">
        <v>4</v>
      </c>
      <c r="D21" s="40" t="inlineStr">
        <is>
          <t>Friday — Bench variant / upper body</t>
        </is>
      </c>
      <c r="E21" s="41" t="n">
        <v>3</v>
      </c>
      <c r="F21" s="40" t="inlineStr">
        <is>
          <t>Lateral raise</t>
        </is>
      </c>
      <c r="G21" s="41" t="inlineStr">
        <is>
          <t>Accessory</t>
        </is>
      </c>
      <c r="H21" s="41" t="inlineStr">
        <is>
          <t>-</t>
        </is>
      </c>
      <c r="I21" s="39" t="n">
        <v>3</v>
      </c>
      <c r="J21" s="39" t="inlineStr">
        <is>
          <t>15</t>
        </is>
      </c>
      <c r="K21" s="39" t="inlineStr"/>
      <c r="L21" s="32" t="inlineStr"/>
      <c r="M21" s="41" t="inlineStr"/>
      <c r="N21" s="37" t="inlineStr"/>
      <c r="O21" s="8" t="inlineStr"/>
      <c r="P21" s="13" t="inlineStr"/>
      <c r="Q21" s="14" t="inlineStr">
        <is>
          <t>[ ]</t>
        </is>
      </c>
    </row>
    <row r="22" ht="22" customHeight="1">
      <c r="A22" s="28" t="n">
        <v>1</v>
      </c>
      <c r="B22" s="29" t="inlineStr">
        <is>
          <t>Accumulation</t>
        </is>
      </c>
      <c r="C22" s="30" t="n">
        <v>4</v>
      </c>
      <c r="D22" s="31" t="inlineStr">
        <is>
          <t>Friday — Bench variant / upper body</t>
        </is>
      </c>
      <c r="E22" s="32" t="n">
        <v>4</v>
      </c>
      <c r="F22" s="31" t="inlineStr">
        <is>
          <t>Curl</t>
        </is>
      </c>
      <c r="G22" s="32" t="inlineStr">
        <is>
          <t>Accessory</t>
        </is>
      </c>
      <c r="H22" s="32" t="inlineStr">
        <is>
          <t>-</t>
        </is>
      </c>
      <c r="I22" s="30" t="n">
        <v>3</v>
      </c>
      <c r="J22" s="30" t="inlineStr">
        <is>
          <t>12</t>
        </is>
      </c>
      <c r="K22" s="30" t="inlineStr"/>
      <c r="L22" s="32" t="inlineStr"/>
      <c r="M22" s="32" t="inlineStr"/>
      <c r="N22" s="37" t="inlineStr"/>
      <c r="O22" s="8" t="inlineStr"/>
      <c r="P22" s="13" t="inlineStr"/>
      <c r="Q22" s="14" t="inlineStr">
        <is>
          <t>[ ]</t>
        </is>
      </c>
    </row>
    <row r="23" ht="22" customHeight="1">
      <c r="A23" s="38" t="n">
        <v>1</v>
      </c>
      <c r="B23" s="29" t="inlineStr">
        <is>
          <t>Accumulation</t>
        </is>
      </c>
      <c r="C23" s="39" t="n">
        <v>4</v>
      </c>
      <c r="D23" s="40" t="inlineStr">
        <is>
          <t>Friday — Bench variant / upper body</t>
        </is>
      </c>
      <c r="E23" s="41" t="n">
        <v>5</v>
      </c>
      <c r="F23" s="40" t="inlineStr">
        <is>
          <t>Pallof press</t>
        </is>
      </c>
      <c r="G23" s="41" t="inlineStr">
        <is>
          <t>Accessory</t>
        </is>
      </c>
      <c r="H23" s="41" t="inlineStr">
        <is>
          <t>-</t>
        </is>
      </c>
      <c r="I23" s="39" t="n">
        <v>3</v>
      </c>
      <c r="J23" s="39" t="inlineStr">
        <is>
          <t>10/side</t>
        </is>
      </c>
      <c r="K23" s="39" t="inlineStr"/>
      <c r="L23" s="32" t="inlineStr"/>
      <c r="M23" s="41" t="inlineStr"/>
      <c r="N23" s="37" t="inlineStr"/>
      <c r="O23" s="8" t="inlineStr"/>
      <c r="P23" s="13" t="inlineStr"/>
      <c r="Q23" s="14" t="inlineStr">
        <is>
          <t>[ ]</t>
        </is>
      </c>
    </row>
    <row r="24" ht="22" customHeight="1">
      <c r="A24" s="28" t="n">
        <v>1</v>
      </c>
      <c r="B24" s="29" t="inlineStr">
        <is>
          <t>Accumulation</t>
        </is>
      </c>
      <c r="C24" s="30" t="n">
        <v>5</v>
      </c>
      <c r="D24" s="31" t="inlineStr">
        <is>
          <t>Saturday — Squat variant + Bent-over row</t>
        </is>
      </c>
      <c r="E24" s="32" t="n">
        <v>1</v>
      </c>
      <c r="F24" s="33" t="inlineStr">
        <is>
          <t>Paused squat</t>
        </is>
      </c>
      <c r="G24" s="34" t="inlineStr">
        <is>
          <t>Main Lift</t>
        </is>
      </c>
      <c r="H24" s="32" t="inlineStr">
        <is>
          <t>SQUAT</t>
        </is>
      </c>
      <c r="I24" s="28" t="n">
        <v>3</v>
      </c>
      <c r="J24" s="28" t="inlineStr">
        <is>
          <t>3</t>
        </is>
      </c>
      <c r="K24" s="28" t="inlineStr">
        <is>
          <t>70%</t>
        </is>
      </c>
      <c r="L24" s="35">
        <f>ROUND('Setup &amp; Dashboard'!$C$7*0.7/5, 0)*5</f>
        <v/>
      </c>
      <c r="M24" s="28" t="inlineStr">
        <is>
          <t>RPE ≤8</t>
        </is>
      </c>
      <c r="N24" s="36" t="inlineStr">
        <is>
          <t>Clean reps; no grinding</t>
        </is>
      </c>
      <c r="O24" s="8" t="inlineStr"/>
      <c r="P24" s="13" t="inlineStr"/>
      <c r="Q24" s="14" t="inlineStr">
        <is>
          <t>[ ]</t>
        </is>
      </c>
    </row>
    <row r="25" ht="22" customHeight="1">
      <c r="A25" s="38" t="n">
        <v>1</v>
      </c>
      <c r="B25" s="29" t="inlineStr">
        <is>
          <t>Accumulation</t>
        </is>
      </c>
      <c r="C25" s="39" t="n">
        <v>5</v>
      </c>
      <c r="D25" s="40" t="inlineStr">
        <is>
          <t>Saturday — Squat variant + Bent-over row</t>
        </is>
      </c>
      <c r="E25" s="41" t="n">
        <v>2</v>
      </c>
      <c r="F25" s="40" t="inlineStr">
        <is>
          <t>Bent-over row</t>
        </is>
      </c>
      <c r="G25" s="41" t="inlineStr">
        <is>
          <t>Accessory</t>
        </is>
      </c>
      <c r="H25" s="41" t="inlineStr">
        <is>
          <t>ROW</t>
        </is>
      </c>
      <c r="I25" s="39" t="n">
        <v>4</v>
      </c>
      <c r="J25" s="39" t="inlineStr">
        <is>
          <t>4-6</t>
        </is>
      </c>
      <c r="K25" s="39" t="inlineStr">
        <is>
          <t>Linear +5lb</t>
        </is>
      </c>
      <c r="L25" s="35">
        <f>'Setup &amp; Dashboard'!$C$10+(1-1)*5</f>
        <v/>
      </c>
      <c r="M25" s="41" t="inlineStr"/>
      <c r="N25" s="36" t="inlineStr">
        <is>
          <t>4 strict sets. Add 5 lb next exposure only when every set is clean and ≤RPE 8; deload load/reps, no failure.</t>
        </is>
      </c>
      <c r="O25" s="8" t="inlineStr"/>
      <c r="P25" s="13" t="inlineStr"/>
      <c r="Q25" s="14" t="inlineStr">
        <is>
          <t>[ ]</t>
        </is>
      </c>
    </row>
    <row r="26" ht="22" customHeight="1">
      <c r="A26" s="28" t="n">
        <v>1</v>
      </c>
      <c r="B26" s="29" t="inlineStr">
        <is>
          <t>Accumulation</t>
        </is>
      </c>
      <c r="C26" s="30" t="n">
        <v>5</v>
      </c>
      <c r="D26" s="31" t="inlineStr">
        <is>
          <t>Saturday — Squat variant + Bent-over row</t>
        </is>
      </c>
      <c r="E26" s="32" t="n">
        <v>3</v>
      </c>
      <c r="F26" s="31" t="inlineStr">
        <is>
          <t>Reverse hyper</t>
        </is>
      </c>
      <c r="G26" s="32" t="inlineStr">
        <is>
          <t>Accessory</t>
        </is>
      </c>
      <c r="H26" s="32" t="inlineStr">
        <is>
          <t>-</t>
        </is>
      </c>
      <c r="I26" s="30" t="n">
        <v>2</v>
      </c>
      <c r="J26" s="30" t="inlineStr">
        <is>
          <t>12</t>
        </is>
      </c>
      <c r="K26" s="30" t="inlineStr"/>
      <c r="L26" s="32" t="inlineStr"/>
      <c r="M26" s="32" t="inlineStr"/>
      <c r="N26" s="37" t="inlineStr"/>
      <c r="O26" s="8" t="inlineStr"/>
      <c r="P26" s="13" t="inlineStr"/>
      <c r="Q26" s="14" t="inlineStr">
        <is>
          <t>[ ]</t>
        </is>
      </c>
    </row>
    <row r="27" ht="22" customHeight="1">
      <c r="A27" s="38" t="n">
        <v>1</v>
      </c>
      <c r="B27" s="29" t="inlineStr">
        <is>
          <t>Accumulation</t>
        </is>
      </c>
      <c r="C27" s="39" t="n">
        <v>5</v>
      </c>
      <c r="D27" s="40" t="inlineStr">
        <is>
          <t>Saturday — Squat variant + Bent-over row</t>
        </is>
      </c>
      <c r="E27" s="41" t="n">
        <v>4</v>
      </c>
      <c r="F27" s="40" t="inlineStr">
        <is>
          <t>GHR or Nordic curl</t>
        </is>
      </c>
      <c r="G27" s="41" t="inlineStr">
        <is>
          <t>Accessory</t>
        </is>
      </c>
      <c r="H27" s="41" t="inlineStr">
        <is>
          <t>-</t>
        </is>
      </c>
      <c r="I27" s="39" t="n">
        <v>3</v>
      </c>
      <c r="J27" s="39" t="inlineStr">
        <is>
          <t>8</t>
        </is>
      </c>
      <c r="K27" s="39" t="inlineStr"/>
      <c r="L27" s="32" t="inlineStr"/>
      <c r="M27" s="41" t="inlineStr"/>
      <c r="N27" s="37" t="inlineStr"/>
      <c r="O27" s="8" t="inlineStr"/>
      <c r="P27" s="13" t="inlineStr"/>
      <c r="Q27" s="14" t="inlineStr">
        <is>
          <t>[ ]</t>
        </is>
      </c>
    </row>
    <row r="28" ht="22" customHeight="1">
      <c r="A28" s="28" t="n">
        <v>1</v>
      </c>
      <c r="B28" s="29" t="inlineStr">
        <is>
          <t>Accumulation</t>
        </is>
      </c>
      <c r="C28" s="30" t="n">
        <v>5</v>
      </c>
      <c r="D28" s="31" t="inlineStr">
        <is>
          <t>Saturday — Squat variant + Bent-over row</t>
        </is>
      </c>
      <c r="E28" s="32" t="n">
        <v>5</v>
      </c>
      <c r="F28" s="31" t="inlineStr">
        <is>
          <t>Jefferson curl</t>
        </is>
      </c>
      <c r="G28" s="32" t="inlineStr">
        <is>
          <t>Accessory</t>
        </is>
      </c>
      <c r="H28" s="32" t="inlineStr">
        <is>
          <t>-</t>
        </is>
      </c>
      <c r="I28" s="30" t="n">
        <v>1</v>
      </c>
      <c r="J28" s="30" t="inlineStr">
        <is>
          <t>8</t>
        </is>
      </c>
      <c r="K28" s="30" t="inlineStr"/>
      <c r="L28" s="32" t="inlineStr"/>
      <c r="M28" s="32" t="inlineStr"/>
      <c r="N28" s="37" t="inlineStr"/>
      <c r="O28" s="8" t="inlineStr"/>
      <c r="P28" s="13" t="inlineStr"/>
      <c r="Q28" s="14" t="inlineStr">
        <is>
          <t>[ ]</t>
        </is>
      </c>
    </row>
    <row r="29" ht="22" customHeight="1">
      <c r="A29" s="28" t="n">
        <v>2</v>
      </c>
      <c r="B29" s="29" t="inlineStr">
        <is>
          <t>Accumulation</t>
        </is>
      </c>
      <c r="C29" s="30" t="n">
        <v>1</v>
      </c>
      <c r="D29" s="31" t="inlineStr">
        <is>
          <t>Monday — Squat</t>
        </is>
      </c>
      <c r="E29" s="32" t="n">
        <v>1</v>
      </c>
      <c r="F29" s="33" t="inlineStr">
        <is>
          <t>Back squat — top single</t>
        </is>
      </c>
      <c r="G29" s="34" t="inlineStr">
        <is>
          <t>Main Lift</t>
        </is>
      </c>
      <c r="H29" s="32" t="inlineStr">
        <is>
          <t>SQUAT</t>
        </is>
      </c>
      <c r="I29" s="28" t="n">
        <v>1</v>
      </c>
      <c r="J29" s="28" t="inlineStr">
        <is>
          <t>1</t>
        </is>
      </c>
      <c r="K29" s="28" t="inlineStr">
        <is>
          <t>86%</t>
        </is>
      </c>
      <c r="L29" s="35">
        <f>ROUND('Setup &amp; Dashboard'!$C$7*0.86/5, 0)*5</f>
        <v/>
      </c>
      <c r="M29" s="28" t="inlineStr">
        <is>
          <t>RPE 7.5-8</t>
        </is>
      </c>
      <c r="N29" s="36" t="inlineStr">
        <is>
          <t>Smooth single, no grind</t>
        </is>
      </c>
      <c r="O29" s="8" t="inlineStr"/>
      <c r="P29" s="13" t="inlineStr"/>
      <c r="Q29" s="14" t="inlineStr">
        <is>
          <t>[ ]</t>
        </is>
      </c>
    </row>
    <row r="30" ht="22" customHeight="1">
      <c r="A30" s="28" t="n">
        <v>2</v>
      </c>
      <c r="B30" s="29" t="inlineStr">
        <is>
          <t>Accumulation</t>
        </is>
      </c>
      <c r="C30" s="30" t="n">
        <v>1</v>
      </c>
      <c r="D30" s="31" t="inlineStr">
        <is>
          <t>Monday — Squat</t>
        </is>
      </c>
      <c r="E30" s="32" t="n">
        <v>2</v>
      </c>
      <c r="F30" s="33" t="inlineStr">
        <is>
          <t>Back squat — back-off</t>
        </is>
      </c>
      <c r="G30" s="34" t="inlineStr">
        <is>
          <t>Main Lift</t>
        </is>
      </c>
      <c r="H30" s="32" t="inlineStr">
        <is>
          <t>SQUAT</t>
        </is>
      </c>
      <c r="I30" s="28" t="n">
        <v>5</v>
      </c>
      <c r="J30" s="28" t="inlineStr">
        <is>
          <t>4</t>
        </is>
      </c>
      <c r="K30" s="28" t="inlineStr">
        <is>
          <t>73%</t>
        </is>
      </c>
      <c r="L30" s="35">
        <f>ROUND('Setup &amp; Dashboard'!$C$7*0.73/5, 0)*5</f>
        <v/>
      </c>
      <c r="M30" s="28" t="inlineStr">
        <is>
          <t>RPE 7</t>
        </is>
      </c>
      <c r="N30" s="37" t="inlineStr"/>
      <c r="O30" s="8" t="inlineStr"/>
      <c r="P30" s="13" t="inlineStr"/>
      <c r="Q30" s="14" t="inlineStr">
        <is>
          <t>[ ]</t>
        </is>
      </c>
    </row>
    <row r="31" ht="22" customHeight="1">
      <c r="A31" s="38" t="n">
        <v>2</v>
      </c>
      <c r="B31" s="29" t="inlineStr">
        <is>
          <t>Accumulation</t>
        </is>
      </c>
      <c r="C31" s="39" t="n">
        <v>1</v>
      </c>
      <c r="D31" s="40" t="inlineStr">
        <is>
          <t>Monday — Squat</t>
        </is>
      </c>
      <c r="E31" s="41" t="n">
        <v>3</v>
      </c>
      <c r="F31" s="40" t="inlineStr">
        <is>
          <t>Bulgarian split squat</t>
        </is>
      </c>
      <c r="G31" s="41" t="inlineStr">
        <is>
          <t>Accessory</t>
        </is>
      </c>
      <c r="H31" s="41" t="inlineStr">
        <is>
          <t>-</t>
        </is>
      </c>
      <c r="I31" s="39" t="n">
        <v>3</v>
      </c>
      <c r="J31" s="39" t="inlineStr">
        <is>
          <t>10/leg</t>
        </is>
      </c>
      <c r="K31" s="39" t="inlineStr"/>
      <c r="L31" s="32" t="inlineStr"/>
      <c r="M31" s="41" t="inlineStr"/>
      <c r="N31" s="37" t="inlineStr"/>
      <c r="O31" s="8" t="inlineStr"/>
      <c r="P31" s="13" t="inlineStr"/>
      <c r="Q31" s="14" t="inlineStr">
        <is>
          <t>[ ]</t>
        </is>
      </c>
    </row>
    <row r="32" ht="22" customHeight="1">
      <c r="A32" s="28" t="n">
        <v>2</v>
      </c>
      <c r="B32" s="29" t="inlineStr">
        <is>
          <t>Accumulation</t>
        </is>
      </c>
      <c r="C32" s="30" t="n">
        <v>1</v>
      </c>
      <c r="D32" s="31" t="inlineStr">
        <is>
          <t>Monday — Squat</t>
        </is>
      </c>
      <c r="E32" s="32" t="n">
        <v>4</v>
      </c>
      <c r="F32" s="31" t="inlineStr">
        <is>
          <t>Leg curl</t>
        </is>
      </c>
      <c r="G32" s="32" t="inlineStr">
        <is>
          <t>Accessory</t>
        </is>
      </c>
      <c r="H32" s="32" t="inlineStr">
        <is>
          <t>-</t>
        </is>
      </c>
      <c r="I32" s="30" t="n">
        <v>3</v>
      </c>
      <c r="J32" s="30" t="inlineStr">
        <is>
          <t>12</t>
        </is>
      </c>
      <c r="K32" s="30" t="inlineStr"/>
      <c r="L32" s="32" t="inlineStr"/>
      <c r="M32" s="32" t="inlineStr"/>
      <c r="N32" s="37" t="inlineStr"/>
      <c r="O32" s="8" t="inlineStr"/>
      <c r="P32" s="13" t="inlineStr"/>
      <c r="Q32" s="14" t="inlineStr">
        <is>
          <t>[ ]</t>
        </is>
      </c>
    </row>
    <row r="33" ht="22" customHeight="1">
      <c r="A33" s="38" t="n">
        <v>2</v>
      </c>
      <c r="B33" s="29" t="inlineStr">
        <is>
          <t>Accumulation</t>
        </is>
      </c>
      <c r="C33" s="39" t="n">
        <v>1</v>
      </c>
      <c r="D33" s="40" t="inlineStr">
        <is>
          <t>Monday — Squat</t>
        </is>
      </c>
      <c r="E33" s="41" t="n">
        <v>5</v>
      </c>
      <c r="F33" s="40" t="inlineStr">
        <is>
          <t>Copenhagen plank</t>
        </is>
      </c>
      <c r="G33" s="41" t="inlineStr">
        <is>
          <t>Accessory</t>
        </is>
      </c>
      <c r="H33" s="41" t="inlineStr">
        <is>
          <t>-</t>
        </is>
      </c>
      <c r="I33" s="39" t="n">
        <v>3</v>
      </c>
      <c r="J33" s="39" t="inlineStr">
        <is>
          <t>20sec/side</t>
        </is>
      </c>
      <c r="K33" s="39" t="inlineStr"/>
      <c r="L33" s="32" t="inlineStr"/>
      <c r="M33" s="41" t="inlineStr"/>
      <c r="N33" s="37" t="inlineStr"/>
      <c r="O33" s="8" t="inlineStr"/>
      <c r="P33" s="13" t="inlineStr"/>
      <c r="Q33" s="14" t="inlineStr">
        <is>
          <t>[ ]</t>
        </is>
      </c>
    </row>
    <row r="34" ht="22" customHeight="1">
      <c r="A34" s="28" t="n">
        <v>2</v>
      </c>
      <c r="B34" s="29" t="inlineStr">
        <is>
          <t>Accumulation</t>
        </is>
      </c>
      <c r="C34" s="30" t="n">
        <v>2</v>
      </c>
      <c r="D34" s="31" t="inlineStr">
        <is>
          <t>Tuesday — Bench</t>
        </is>
      </c>
      <c r="E34" s="32" t="n">
        <v>1</v>
      </c>
      <c r="F34" s="33" t="inlineStr">
        <is>
          <t>Bench press</t>
        </is>
      </c>
      <c r="G34" s="34" t="inlineStr">
        <is>
          <t>Main Lift</t>
        </is>
      </c>
      <c r="H34" s="32" t="inlineStr">
        <is>
          <t>BENCH</t>
        </is>
      </c>
      <c r="I34" s="28" t="n">
        <v>7</v>
      </c>
      <c r="J34" s="28" t="inlineStr">
        <is>
          <t>4</t>
        </is>
      </c>
      <c r="K34" s="28" t="inlineStr">
        <is>
          <t>73%</t>
        </is>
      </c>
      <c r="L34" s="35">
        <f>ROUND('Setup &amp; Dashboard'!$C$8*0.73/5, 0)*5</f>
        <v/>
      </c>
      <c r="M34" s="28" t="inlineStr">
        <is>
          <t>RPE 7</t>
        </is>
      </c>
      <c r="N34" s="37" t="inlineStr"/>
      <c r="O34" s="8" t="inlineStr"/>
      <c r="P34" s="13" t="inlineStr"/>
      <c r="Q34" s="14" t="inlineStr">
        <is>
          <t>[ ]</t>
        </is>
      </c>
    </row>
    <row r="35" ht="22" customHeight="1">
      <c r="A35" s="38" t="n">
        <v>2</v>
      </c>
      <c r="B35" s="29" t="inlineStr">
        <is>
          <t>Accumulation</t>
        </is>
      </c>
      <c r="C35" s="39" t="n">
        <v>2</v>
      </c>
      <c r="D35" s="40" t="inlineStr">
        <is>
          <t>Tuesday — Bench</t>
        </is>
      </c>
      <c r="E35" s="41" t="n">
        <v>2</v>
      </c>
      <c r="F35" s="40" t="inlineStr">
        <is>
          <t>Close-grip bench</t>
        </is>
      </c>
      <c r="G35" s="41" t="inlineStr">
        <is>
          <t>Accessory</t>
        </is>
      </c>
      <c r="H35" s="41" t="inlineStr">
        <is>
          <t>-</t>
        </is>
      </c>
      <c r="I35" s="39" t="n">
        <v>3</v>
      </c>
      <c r="J35" s="39" t="inlineStr">
        <is>
          <t>6</t>
        </is>
      </c>
      <c r="K35" s="39" t="inlineStr"/>
      <c r="L35" s="32" t="inlineStr"/>
      <c r="M35" s="41" t="inlineStr"/>
      <c r="N35" s="37" t="inlineStr"/>
      <c r="O35" s="8" t="inlineStr"/>
      <c r="P35" s="13" t="inlineStr"/>
      <c r="Q35" s="14" t="inlineStr">
        <is>
          <t>[ ]</t>
        </is>
      </c>
    </row>
    <row r="36" ht="22" customHeight="1">
      <c r="A36" s="28" t="n">
        <v>2</v>
      </c>
      <c r="B36" s="29" t="inlineStr">
        <is>
          <t>Accumulation</t>
        </is>
      </c>
      <c r="C36" s="30" t="n">
        <v>2</v>
      </c>
      <c r="D36" s="31" t="inlineStr">
        <is>
          <t>Tuesday — Bench</t>
        </is>
      </c>
      <c r="E36" s="32" t="n">
        <v>3</v>
      </c>
      <c r="F36" s="31" t="inlineStr">
        <is>
          <t>Incline DB press</t>
        </is>
      </c>
      <c r="G36" s="32" t="inlineStr">
        <is>
          <t>Accessory</t>
        </is>
      </c>
      <c r="H36" s="32" t="inlineStr">
        <is>
          <t>-</t>
        </is>
      </c>
      <c r="I36" s="30" t="n">
        <v>3</v>
      </c>
      <c r="J36" s="30" t="inlineStr">
        <is>
          <t>12</t>
        </is>
      </c>
      <c r="K36" s="30" t="inlineStr"/>
      <c r="L36" s="32" t="inlineStr"/>
      <c r="M36" s="32" t="inlineStr"/>
      <c r="N36" s="37" t="inlineStr"/>
      <c r="O36" s="8" t="inlineStr"/>
      <c r="P36" s="13" t="inlineStr"/>
      <c r="Q36" s="14" t="inlineStr">
        <is>
          <t>[ ]</t>
        </is>
      </c>
    </row>
    <row r="37" ht="22" customHeight="1">
      <c r="A37" s="38" t="n">
        <v>2</v>
      </c>
      <c r="B37" s="29" t="inlineStr">
        <is>
          <t>Accumulation</t>
        </is>
      </c>
      <c r="C37" s="39" t="n">
        <v>2</v>
      </c>
      <c r="D37" s="40" t="inlineStr">
        <is>
          <t>Tuesday — Bench</t>
        </is>
      </c>
      <c r="E37" s="41" t="n">
        <v>4</v>
      </c>
      <c r="F37" s="40" t="inlineStr">
        <is>
          <t>Triceps pressdown</t>
        </is>
      </c>
      <c r="G37" s="41" t="inlineStr">
        <is>
          <t>Accessory</t>
        </is>
      </c>
      <c r="H37" s="41" t="inlineStr">
        <is>
          <t>-</t>
        </is>
      </c>
      <c r="I37" s="39" t="n">
        <v>3</v>
      </c>
      <c r="J37" s="39" t="inlineStr">
        <is>
          <t>12</t>
        </is>
      </c>
      <c r="K37" s="39" t="inlineStr"/>
      <c r="L37" s="32" t="inlineStr"/>
      <c r="M37" s="41" t="inlineStr"/>
      <c r="N37" s="37" t="inlineStr"/>
      <c r="O37" s="8" t="inlineStr"/>
      <c r="P37" s="13" t="inlineStr"/>
      <c r="Q37" s="14" t="inlineStr">
        <is>
          <t>[ ]</t>
        </is>
      </c>
    </row>
    <row r="38" ht="22" customHeight="1">
      <c r="A38" s="28" t="n">
        <v>2</v>
      </c>
      <c r="B38" s="29" t="inlineStr">
        <is>
          <t>Accumulation</t>
        </is>
      </c>
      <c r="C38" s="30" t="n">
        <v>2</v>
      </c>
      <c r="D38" s="31" t="inlineStr">
        <is>
          <t>Tuesday — Bench</t>
        </is>
      </c>
      <c r="E38" s="32" t="n">
        <v>5</v>
      </c>
      <c r="F38" s="31" t="inlineStr">
        <is>
          <t>Face pull</t>
        </is>
      </c>
      <c r="G38" s="32" t="inlineStr">
        <is>
          <t>Accessory</t>
        </is>
      </c>
      <c r="H38" s="32" t="inlineStr">
        <is>
          <t>-</t>
        </is>
      </c>
      <c r="I38" s="30" t="n">
        <v>3</v>
      </c>
      <c r="J38" s="30" t="inlineStr">
        <is>
          <t>15</t>
        </is>
      </c>
      <c r="K38" s="30" t="inlineStr"/>
      <c r="L38" s="32" t="inlineStr"/>
      <c r="M38" s="32" t="inlineStr"/>
      <c r="N38" s="37" t="inlineStr"/>
      <c r="O38" s="8" t="inlineStr"/>
      <c r="P38" s="13" t="inlineStr"/>
      <c r="Q38" s="14" t="inlineStr">
        <is>
          <t>[ ]</t>
        </is>
      </c>
    </row>
    <row r="39" ht="22" customHeight="1">
      <c r="A39" s="28" t="n">
        <v>2</v>
      </c>
      <c r="B39" s="29" t="inlineStr">
        <is>
          <t>Accumulation</t>
        </is>
      </c>
      <c r="C39" s="30" t="n">
        <v>3</v>
      </c>
      <c r="D39" s="31" t="inlineStr">
        <is>
          <t>Thursday — Deadlift</t>
        </is>
      </c>
      <c r="E39" s="32" t="n">
        <v>1</v>
      </c>
      <c r="F39" s="33" t="inlineStr">
        <is>
          <t>Deadlift</t>
        </is>
      </c>
      <c r="G39" s="34" t="inlineStr">
        <is>
          <t>Main Lift</t>
        </is>
      </c>
      <c r="H39" s="32" t="inlineStr">
        <is>
          <t>DEADLIFT</t>
        </is>
      </c>
      <c r="I39" s="28" t="n">
        <v>3</v>
      </c>
      <c r="J39" s="28" t="inlineStr">
        <is>
          <t>4</t>
        </is>
      </c>
      <c r="K39" s="28" t="inlineStr">
        <is>
          <t>72%</t>
        </is>
      </c>
      <c r="L39" s="35">
        <f>ROUND('Setup &amp; Dashboard'!$C$9*0.72/5, 0)*5</f>
        <v/>
      </c>
      <c r="M39" s="28" t="inlineStr">
        <is>
          <t>RPE 7</t>
        </is>
      </c>
      <c r="N39" s="37" t="inlineStr"/>
      <c r="O39" s="8" t="inlineStr"/>
      <c r="P39" s="13" t="inlineStr"/>
      <c r="Q39" s="14" t="inlineStr">
        <is>
          <t>[ ]</t>
        </is>
      </c>
    </row>
    <row r="40" ht="22" customHeight="1">
      <c r="A40" s="28" t="n">
        <v>2</v>
      </c>
      <c r="B40" s="29" t="inlineStr">
        <is>
          <t>Accumulation</t>
        </is>
      </c>
      <c r="C40" s="30" t="n">
        <v>3</v>
      </c>
      <c r="D40" s="31" t="inlineStr">
        <is>
          <t>Thursday — Deadlift</t>
        </is>
      </c>
      <c r="E40" s="32" t="n">
        <v>2</v>
      </c>
      <c r="F40" s="33" t="inlineStr">
        <is>
          <t>1.5-rep deadlift (knee height)</t>
        </is>
      </c>
      <c r="G40" s="34" t="inlineStr">
        <is>
          <t>Main Lift</t>
        </is>
      </c>
      <c r="H40" s="32" t="inlineStr">
        <is>
          <t>DEADLIFT</t>
        </is>
      </c>
      <c r="I40" s="28" t="n">
        <v>3</v>
      </c>
      <c r="J40" s="28" t="inlineStr">
        <is>
          <t>3</t>
        </is>
      </c>
      <c r="K40" s="28" t="inlineStr">
        <is>
          <t>60% + 5 lb</t>
        </is>
      </c>
      <c r="L40" s="35">
        <f>ROUND('Setup &amp; Dashboard'!$C$9*0.6/5, 0)*5+5</f>
        <v/>
      </c>
      <c r="M40" s="32" t="inlineStr"/>
      <c r="N40" s="36" t="inlineStr">
        <is>
          <t>Reset every rep; lower to just below knee, return to lockout, then lower fully. W1 60% DL max; add +5 lb/week only if clean and ≤RPE 7. Deload: 2x3 @55% max.</t>
        </is>
      </c>
      <c r="O40" s="8" t="inlineStr"/>
      <c r="P40" s="13" t="inlineStr"/>
      <c r="Q40" s="14" t="inlineStr">
        <is>
          <t>[ ]</t>
        </is>
      </c>
    </row>
    <row r="41" ht="22" customHeight="1">
      <c r="A41" s="38" t="n">
        <v>2</v>
      </c>
      <c r="B41" s="29" t="inlineStr">
        <is>
          <t>Accumulation</t>
        </is>
      </c>
      <c r="C41" s="39" t="n">
        <v>3</v>
      </c>
      <c r="D41" s="40" t="inlineStr">
        <is>
          <t>Thursday — Deadlift</t>
        </is>
      </c>
      <c r="E41" s="41" t="n">
        <v>3</v>
      </c>
      <c r="F41" s="40" t="inlineStr">
        <is>
          <t>Reverse hyper</t>
        </is>
      </c>
      <c r="G41" s="41" t="inlineStr">
        <is>
          <t>Accessory</t>
        </is>
      </c>
      <c r="H41" s="41" t="inlineStr">
        <is>
          <t>-</t>
        </is>
      </c>
      <c r="I41" s="39" t="n">
        <v>2</v>
      </c>
      <c r="J41" s="39" t="inlineStr">
        <is>
          <t>15</t>
        </is>
      </c>
      <c r="K41" s="39" t="inlineStr"/>
      <c r="L41" s="32" t="inlineStr"/>
      <c r="M41" s="41" t="inlineStr"/>
      <c r="N41" s="37" t="inlineStr"/>
      <c r="O41" s="8" t="inlineStr"/>
      <c r="P41" s="13" t="inlineStr"/>
      <c r="Q41" s="14" t="inlineStr">
        <is>
          <t>[ ]</t>
        </is>
      </c>
    </row>
    <row r="42" ht="22" customHeight="1">
      <c r="A42" s="28" t="n">
        <v>2</v>
      </c>
      <c r="B42" s="29" t="inlineStr">
        <is>
          <t>Accumulation</t>
        </is>
      </c>
      <c r="C42" s="30" t="n">
        <v>3</v>
      </c>
      <c r="D42" s="31" t="inlineStr">
        <is>
          <t>Thursday — Deadlift</t>
        </is>
      </c>
      <c r="E42" s="32" t="n">
        <v>4</v>
      </c>
      <c r="F42" s="31" t="inlineStr">
        <is>
          <t>Jefferson curl</t>
        </is>
      </c>
      <c r="G42" s="32" t="inlineStr">
        <is>
          <t>Accessory</t>
        </is>
      </c>
      <c r="H42" s="32" t="inlineStr">
        <is>
          <t>-</t>
        </is>
      </c>
      <c r="I42" s="30" t="n">
        <v>2</v>
      </c>
      <c r="J42" s="30" t="inlineStr">
        <is>
          <t>8</t>
        </is>
      </c>
      <c r="K42" s="30" t="inlineStr"/>
      <c r="L42" s="32" t="inlineStr"/>
      <c r="M42" s="32" t="inlineStr"/>
      <c r="N42" s="37" t="inlineStr"/>
      <c r="O42" s="8" t="inlineStr"/>
      <c r="P42" s="13" t="inlineStr"/>
      <c r="Q42" s="14" t="inlineStr">
        <is>
          <t>[ ]</t>
        </is>
      </c>
    </row>
    <row r="43" ht="22" customHeight="1">
      <c r="A43" s="28" t="n">
        <v>2</v>
      </c>
      <c r="B43" s="29" t="inlineStr">
        <is>
          <t>Accumulation</t>
        </is>
      </c>
      <c r="C43" s="30" t="n">
        <v>4</v>
      </c>
      <c r="D43" s="31" t="inlineStr">
        <is>
          <t>Friday — Bench variant / upper body</t>
        </is>
      </c>
      <c r="E43" s="32" t="n">
        <v>1</v>
      </c>
      <c r="F43" s="33" t="inlineStr">
        <is>
          <t>Paused bench</t>
        </is>
      </c>
      <c r="G43" s="34" t="inlineStr">
        <is>
          <t>Main Lift</t>
        </is>
      </c>
      <c r="H43" s="32" t="inlineStr">
        <is>
          <t>BENCH</t>
        </is>
      </c>
      <c r="I43" s="28" t="n">
        <v>4</v>
      </c>
      <c r="J43" s="28" t="inlineStr">
        <is>
          <t>3</t>
        </is>
      </c>
      <c r="K43" s="28" t="inlineStr">
        <is>
          <t>70%</t>
        </is>
      </c>
      <c r="L43" s="35">
        <f>ROUND('Setup &amp; Dashboard'!$C$8*0.7/5, 0)*5</f>
        <v/>
      </c>
      <c r="M43" s="28" t="inlineStr">
        <is>
          <t>RPE 7</t>
        </is>
      </c>
      <c r="N43" s="37" t="inlineStr"/>
      <c r="O43" s="8" t="inlineStr"/>
      <c r="P43" s="13" t="inlineStr"/>
      <c r="Q43" s="14" t="inlineStr">
        <is>
          <t>[ ]</t>
        </is>
      </c>
    </row>
    <row r="44" ht="22" customHeight="1">
      <c r="A44" s="28" t="n">
        <v>2</v>
      </c>
      <c r="B44" s="29" t="inlineStr">
        <is>
          <t>Accumulation</t>
        </is>
      </c>
      <c r="C44" s="30" t="n">
        <v>4</v>
      </c>
      <c r="D44" s="31" t="inlineStr">
        <is>
          <t>Friday — Bench variant / upper body</t>
        </is>
      </c>
      <c r="E44" s="32" t="n">
        <v>2</v>
      </c>
      <c r="F44" s="31" t="inlineStr">
        <is>
          <t>Lat pulldown</t>
        </is>
      </c>
      <c r="G44" s="32" t="inlineStr">
        <is>
          <t>Accessory</t>
        </is>
      </c>
      <c r="H44" s="32" t="inlineStr">
        <is>
          <t>-</t>
        </is>
      </c>
      <c r="I44" s="30" t="n">
        <v>3</v>
      </c>
      <c r="J44" s="30" t="inlineStr">
        <is>
          <t>12</t>
        </is>
      </c>
      <c r="K44" s="30" t="inlineStr"/>
      <c r="L44" s="32" t="inlineStr"/>
      <c r="M44" s="32" t="inlineStr"/>
      <c r="N44" s="37" t="inlineStr"/>
      <c r="O44" s="8" t="inlineStr"/>
      <c r="P44" s="13" t="inlineStr"/>
      <c r="Q44" s="14" t="inlineStr">
        <is>
          <t>[ ]</t>
        </is>
      </c>
    </row>
    <row r="45" ht="22" customHeight="1">
      <c r="A45" s="38" t="n">
        <v>2</v>
      </c>
      <c r="B45" s="29" t="inlineStr">
        <is>
          <t>Accumulation</t>
        </is>
      </c>
      <c r="C45" s="39" t="n">
        <v>4</v>
      </c>
      <c r="D45" s="40" t="inlineStr">
        <is>
          <t>Friday — Bench variant / upper body</t>
        </is>
      </c>
      <c r="E45" s="41" t="n">
        <v>3</v>
      </c>
      <c r="F45" s="40" t="inlineStr">
        <is>
          <t>Lateral raise</t>
        </is>
      </c>
      <c r="G45" s="41" t="inlineStr">
        <is>
          <t>Accessory</t>
        </is>
      </c>
      <c r="H45" s="41" t="inlineStr">
        <is>
          <t>-</t>
        </is>
      </c>
      <c r="I45" s="39" t="n">
        <v>3</v>
      </c>
      <c r="J45" s="39" t="inlineStr">
        <is>
          <t>15</t>
        </is>
      </c>
      <c r="K45" s="39" t="inlineStr"/>
      <c r="L45" s="32" t="inlineStr"/>
      <c r="M45" s="41" t="inlineStr"/>
      <c r="N45" s="37" t="inlineStr"/>
      <c r="O45" s="8" t="inlineStr"/>
      <c r="P45" s="13" t="inlineStr"/>
      <c r="Q45" s="14" t="inlineStr">
        <is>
          <t>[ ]</t>
        </is>
      </c>
    </row>
    <row r="46" ht="22" customHeight="1">
      <c r="A46" s="28" t="n">
        <v>2</v>
      </c>
      <c r="B46" s="29" t="inlineStr">
        <is>
          <t>Accumulation</t>
        </is>
      </c>
      <c r="C46" s="30" t="n">
        <v>4</v>
      </c>
      <c r="D46" s="31" t="inlineStr">
        <is>
          <t>Friday — Bench variant / upper body</t>
        </is>
      </c>
      <c r="E46" s="32" t="n">
        <v>4</v>
      </c>
      <c r="F46" s="31" t="inlineStr">
        <is>
          <t>Curl</t>
        </is>
      </c>
      <c r="G46" s="32" t="inlineStr">
        <is>
          <t>Accessory</t>
        </is>
      </c>
      <c r="H46" s="32" t="inlineStr">
        <is>
          <t>-</t>
        </is>
      </c>
      <c r="I46" s="30" t="n">
        <v>3</v>
      </c>
      <c r="J46" s="30" t="inlineStr">
        <is>
          <t>12</t>
        </is>
      </c>
      <c r="K46" s="30" t="inlineStr"/>
      <c r="L46" s="32" t="inlineStr"/>
      <c r="M46" s="32" t="inlineStr"/>
      <c r="N46" s="37" t="inlineStr"/>
      <c r="O46" s="8" t="inlineStr"/>
      <c r="P46" s="13" t="inlineStr"/>
      <c r="Q46" s="14" t="inlineStr">
        <is>
          <t>[ ]</t>
        </is>
      </c>
    </row>
    <row r="47" ht="22" customHeight="1">
      <c r="A47" s="38" t="n">
        <v>2</v>
      </c>
      <c r="B47" s="29" t="inlineStr">
        <is>
          <t>Accumulation</t>
        </is>
      </c>
      <c r="C47" s="39" t="n">
        <v>4</v>
      </c>
      <c r="D47" s="40" t="inlineStr">
        <is>
          <t>Friday — Bench variant / upper body</t>
        </is>
      </c>
      <c r="E47" s="41" t="n">
        <v>5</v>
      </c>
      <c r="F47" s="40" t="inlineStr">
        <is>
          <t>Pallof press</t>
        </is>
      </c>
      <c r="G47" s="41" t="inlineStr">
        <is>
          <t>Accessory</t>
        </is>
      </c>
      <c r="H47" s="41" t="inlineStr">
        <is>
          <t>-</t>
        </is>
      </c>
      <c r="I47" s="39" t="n">
        <v>3</v>
      </c>
      <c r="J47" s="39" t="inlineStr">
        <is>
          <t>10/side</t>
        </is>
      </c>
      <c r="K47" s="39" t="inlineStr"/>
      <c r="L47" s="32" t="inlineStr"/>
      <c r="M47" s="41" t="inlineStr"/>
      <c r="N47" s="37" t="inlineStr"/>
      <c r="O47" s="8" t="inlineStr"/>
      <c r="P47" s="13" t="inlineStr"/>
      <c r="Q47" s="14" t="inlineStr">
        <is>
          <t>[ ]</t>
        </is>
      </c>
    </row>
    <row r="48" ht="22" customHeight="1">
      <c r="A48" s="28" t="n">
        <v>2</v>
      </c>
      <c r="B48" s="29" t="inlineStr">
        <is>
          <t>Accumulation</t>
        </is>
      </c>
      <c r="C48" s="30" t="n">
        <v>5</v>
      </c>
      <c r="D48" s="31" t="inlineStr">
        <is>
          <t>Saturday — Squat variant + Bent-over row</t>
        </is>
      </c>
      <c r="E48" s="32" t="n">
        <v>1</v>
      </c>
      <c r="F48" s="33" t="inlineStr">
        <is>
          <t>Paused squat</t>
        </is>
      </c>
      <c r="G48" s="34" t="inlineStr">
        <is>
          <t>Main Lift</t>
        </is>
      </c>
      <c r="H48" s="32" t="inlineStr">
        <is>
          <t>SQUAT</t>
        </is>
      </c>
      <c r="I48" s="28" t="n">
        <v>3</v>
      </c>
      <c r="J48" s="28" t="inlineStr">
        <is>
          <t>5</t>
        </is>
      </c>
      <c r="K48" s="28" t="inlineStr">
        <is>
          <t>70% + 5 lb</t>
        </is>
      </c>
      <c r="L48" s="35">
        <f>ROUND('Setup &amp; Dashboard'!$C$7*0.7/5, 0)*5+5</f>
        <v/>
      </c>
      <c r="M48" s="28" t="inlineStr">
        <is>
          <t>RPE ≤8</t>
        </is>
      </c>
      <c r="N48" s="36" t="inlineStr">
        <is>
          <t>Clean reps; no grinding</t>
        </is>
      </c>
      <c r="O48" s="8" t="inlineStr"/>
      <c r="P48" s="13" t="inlineStr"/>
      <c r="Q48" s="14" t="inlineStr">
        <is>
          <t>[ ]</t>
        </is>
      </c>
    </row>
    <row r="49" ht="22" customHeight="1">
      <c r="A49" s="38" t="n">
        <v>2</v>
      </c>
      <c r="B49" s="29" t="inlineStr">
        <is>
          <t>Accumulation</t>
        </is>
      </c>
      <c r="C49" s="39" t="n">
        <v>5</v>
      </c>
      <c r="D49" s="40" t="inlineStr">
        <is>
          <t>Saturday — Squat variant + Bent-over row</t>
        </is>
      </c>
      <c r="E49" s="41" t="n">
        <v>2</v>
      </c>
      <c r="F49" s="40" t="inlineStr">
        <is>
          <t>Bent-over row</t>
        </is>
      </c>
      <c r="G49" s="41" t="inlineStr">
        <is>
          <t>Accessory</t>
        </is>
      </c>
      <c r="H49" s="41" t="inlineStr">
        <is>
          <t>ROW</t>
        </is>
      </c>
      <c r="I49" s="39" t="n">
        <v>4</v>
      </c>
      <c r="J49" s="39" t="inlineStr">
        <is>
          <t>4-6</t>
        </is>
      </c>
      <c r="K49" s="39" t="inlineStr">
        <is>
          <t>Linear +5lb</t>
        </is>
      </c>
      <c r="L49" s="35">
        <f>'Setup &amp; Dashboard'!$C$10+(2-1)*5</f>
        <v/>
      </c>
      <c r="M49" s="41" t="inlineStr"/>
      <c r="N49" s="36" t="inlineStr">
        <is>
          <t>4 strict sets. Add 5 lb next exposure only when every set is clean and ≤RPE 8; deload load/reps, no failure.</t>
        </is>
      </c>
      <c r="O49" s="8" t="inlineStr"/>
      <c r="P49" s="13" t="inlineStr"/>
      <c r="Q49" s="14" t="inlineStr">
        <is>
          <t>[ ]</t>
        </is>
      </c>
    </row>
    <row r="50" ht="22" customHeight="1">
      <c r="A50" s="28" t="n">
        <v>2</v>
      </c>
      <c r="B50" s="29" t="inlineStr">
        <is>
          <t>Accumulation</t>
        </is>
      </c>
      <c r="C50" s="30" t="n">
        <v>5</v>
      </c>
      <c r="D50" s="31" t="inlineStr">
        <is>
          <t>Saturday — Squat variant + Bent-over row</t>
        </is>
      </c>
      <c r="E50" s="32" t="n">
        <v>3</v>
      </c>
      <c r="F50" s="31" t="inlineStr">
        <is>
          <t>Reverse hyper</t>
        </is>
      </c>
      <c r="G50" s="32" t="inlineStr">
        <is>
          <t>Accessory</t>
        </is>
      </c>
      <c r="H50" s="32" t="inlineStr">
        <is>
          <t>-</t>
        </is>
      </c>
      <c r="I50" s="30" t="n">
        <v>2</v>
      </c>
      <c r="J50" s="30" t="inlineStr">
        <is>
          <t>12</t>
        </is>
      </c>
      <c r="K50" s="30" t="inlineStr"/>
      <c r="L50" s="32" t="inlineStr"/>
      <c r="M50" s="32" t="inlineStr"/>
      <c r="N50" s="37" t="inlineStr"/>
      <c r="O50" s="8" t="inlineStr"/>
      <c r="P50" s="13" t="inlineStr"/>
      <c r="Q50" s="14" t="inlineStr">
        <is>
          <t>[ ]</t>
        </is>
      </c>
    </row>
    <row r="51" ht="22" customHeight="1">
      <c r="A51" s="38" t="n">
        <v>2</v>
      </c>
      <c r="B51" s="29" t="inlineStr">
        <is>
          <t>Accumulation</t>
        </is>
      </c>
      <c r="C51" s="39" t="n">
        <v>5</v>
      </c>
      <c r="D51" s="40" t="inlineStr">
        <is>
          <t>Saturday — Squat variant + Bent-over row</t>
        </is>
      </c>
      <c r="E51" s="41" t="n">
        <v>4</v>
      </c>
      <c r="F51" s="40" t="inlineStr">
        <is>
          <t>GHR or Nordic curl</t>
        </is>
      </c>
      <c r="G51" s="41" t="inlineStr">
        <is>
          <t>Accessory</t>
        </is>
      </c>
      <c r="H51" s="41" t="inlineStr">
        <is>
          <t>-</t>
        </is>
      </c>
      <c r="I51" s="39" t="n">
        <v>3</v>
      </c>
      <c r="J51" s="39" t="inlineStr">
        <is>
          <t>8</t>
        </is>
      </c>
      <c r="K51" s="39" t="inlineStr"/>
      <c r="L51" s="32" t="inlineStr"/>
      <c r="M51" s="41" t="inlineStr"/>
      <c r="N51" s="37" t="inlineStr"/>
      <c r="O51" s="8" t="inlineStr"/>
      <c r="P51" s="13" t="inlineStr"/>
      <c r="Q51" s="14" t="inlineStr">
        <is>
          <t>[ ]</t>
        </is>
      </c>
    </row>
    <row r="52" ht="22" customHeight="1">
      <c r="A52" s="28" t="n">
        <v>3</v>
      </c>
      <c r="B52" s="29" t="inlineStr">
        <is>
          <t>Accumulation</t>
        </is>
      </c>
      <c r="C52" s="30" t="n">
        <v>1</v>
      </c>
      <c r="D52" s="31" t="inlineStr">
        <is>
          <t>Monday — Squat</t>
        </is>
      </c>
      <c r="E52" s="32" t="n">
        <v>1</v>
      </c>
      <c r="F52" s="33" t="inlineStr">
        <is>
          <t>Squat — top single</t>
        </is>
      </c>
      <c r="G52" s="34" t="inlineStr">
        <is>
          <t>Main Lift</t>
        </is>
      </c>
      <c r="H52" s="32" t="inlineStr">
        <is>
          <t>SQUAT</t>
        </is>
      </c>
      <c r="I52" s="28" t="n">
        <v>1</v>
      </c>
      <c r="J52" s="28" t="inlineStr">
        <is>
          <t>1</t>
        </is>
      </c>
      <c r="K52" s="28" t="inlineStr">
        <is>
          <t>87%</t>
        </is>
      </c>
      <c r="L52" s="35">
        <f>ROUND('Setup &amp; Dashboard'!$C$7*0.87/5, 0)*5</f>
        <v/>
      </c>
      <c r="M52" s="28" t="inlineStr">
        <is>
          <t>RPE 7.5-8</t>
        </is>
      </c>
      <c r="N52" s="36" t="inlineStr">
        <is>
          <t>Smooth single, no grind</t>
        </is>
      </c>
      <c r="O52" s="8" t="inlineStr"/>
      <c r="P52" s="13" t="inlineStr"/>
      <c r="Q52" s="14" t="inlineStr">
        <is>
          <t>[ ]</t>
        </is>
      </c>
    </row>
    <row r="53" ht="22" customHeight="1">
      <c r="A53" s="28" t="n">
        <v>3</v>
      </c>
      <c r="B53" s="29" t="inlineStr">
        <is>
          <t>Accumulation</t>
        </is>
      </c>
      <c r="C53" s="30" t="n">
        <v>1</v>
      </c>
      <c r="D53" s="31" t="inlineStr">
        <is>
          <t>Monday — Squat</t>
        </is>
      </c>
      <c r="E53" s="32" t="n">
        <v>2</v>
      </c>
      <c r="F53" s="33" t="inlineStr">
        <is>
          <t>Squat — back-off</t>
        </is>
      </c>
      <c r="G53" s="34" t="inlineStr">
        <is>
          <t>Main Lift</t>
        </is>
      </c>
      <c r="H53" s="32" t="inlineStr">
        <is>
          <t>SQUAT</t>
        </is>
      </c>
      <c r="I53" s="28" t="n">
        <v>6</v>
      </c>
      <c r="J53" s="28" t="inlineStr">
        <is>
          <t>3</t>
        </is>
      </c>
      <c r="K53" s="28" t="inlineStr">
        <is>
          <t>77%</t>
        </is>
      </c>
      <c r="L53" s="35">
        <f>ROUND('Setup &amp; Dashboard'!$C$7*0.77/5, 0)*5</f>
        <v/>
      </c>
      <c r="M53" s="28" t="inlineStr">
        <is>
          <t>RPE 7-8</t>
        </is>
      </c>
      <c r="N53" s="37" t="inlineStr"/>
      <c r="O53" s="8" t="inlineStr"/>
      <c r="P53" s="13" t="inlineStr"/>
      <c r="Q53" s="14" t="inlineStr">
        <is>
          <t>[ ]</t>
        </is>
      </c>
    </row>
    <row r="54" ht="22" customHeight="1">
      <c r="A54" s="28" t="n">
        <v>3</v>
      </c>
      <c r="B54" s="29" t="inlineStr">
        <is>
          <t>Accumulation</t>
        </is>
      </c>
      <c r="C54" s="30" t="n">
        <v>1</v>
      </c>
      <c r="D54" s="31" t="inlineStr">
        <is>
          <t>Monday — Squat</t>
        </is>
      </c>
      <c r="E54" s="32" t="n">
        <v>3</v>
      </c>
      <c r="F54" s="31" t="inlineStr">
        <is>
          <t>Bulgarian split squat</t>
        </is>
      </c>
      <c r="G54" s="32" t="inlineStr">
        <is>
          <t>Accessory</t>
        </is>
      </c>
      <c r="H54" s="32" t="inlineStr">
        <is>
          <t>-</t>
        </is>
      </c>
      <c r="I54" s="30" t="n">
        <v>3</v>
      </c>
      <c r="J54" s="30" t="inlineStr">
        <is>
          <t>8-10/leg</t>
        </is>
      </c>
      <c r="K54" s="30" t="inlineStr"/>
      <c r="L54" s="32" t="inlineStr"/>
      <c r="M54" s="32" t="inlineStr"/>
      <c r="N54" s="37" t="inlineStr"/>
      <c r="O54" s="8" t="inlineStr"/>
      <c r="P54" s="13" t="inlineStr"/>
      <c r="Q54" s="14" t="inlineStr">
        <is>
          <t>[ ]</t>
        </is>
      </c>
    </row>
    <row r="55" ht="22" customHeight="1">
      <c r="A55" s="38" t="n">
        <v>3</v>
      </c>
      <c r="B55" s="29" t="inlineStr">
        <is>
          <t>Accumulation</t>
        </is>
      </c>
      <c r="C55" s="39" t="n">
        <v>1</v>
      </c>
      <c r="D55" s="40" t="inlineStr">
        <is>
          <t>Monday — Squat</t>
        </is>
      </c>
      <c r="E55" s="41" t="n">
        <v>4</v>
      </c>
      <c r="F55" s="40" t="inlineStr">
        <is>
          <t>Leg curl</t>
        </is>
      </c>
      <c r="G55" s="41" t="inlineStr">
        <is>
          <t>Accessory</t>
        </is>
      </c>
      <c r="H55" s="41" t="inlineStr">
        <is>
          <t>-</t>
        </is>
      </c>
      <c r="I55" s="39" t="n">
        <v>3</v>
      </c>
      <c r="J55" s="39" t="inlineStr">
        <is>
          <t>12</t>
        </is>
      </c>
      <c r="K55" s="39" t="inlineStr"/>
      <c r="L55" s="32" t="inlineStr"/>
      <c r="M55" s="41" t="inlineStr"/>
      <c r="N55" s="37" t="inlineStr"/>
      <c r="O55" s="8" t="inlineStr"/>
      <c r="P55" s="13" t="inlineStr"/>
      <c r="Q55" s="14" t="inlineStr">
        <is>
          <t>[ ]</t>
        </is>
      </c>
    </row>
    <row r="56" ht="22" customHeight="1">
      <c r="A56" s="28" t="n">
        <v>3</v>
      </c>
      <c r="B56" s="29" t="inlineStr">
        <is>
          <t>Accumulation</t>
        </is>
      </c>
      <c r="C56" s="30" t="n">
        <v>1</v>
      </c>
      <c r="D56" s="31" t="inlineStr">
        <is>
          <t>Monday — Squat</t>
        </is>
      </c>
      <c r="E56" s="32" t="n">
        <v>5</v>
      </c>
      <c r="F56" s="31" t="inlineStr">
        <is>
          <t>Copenhagen plank</t>
        </is>
      </c>
      <c r="G56" s="32" t="inlineStr">
        <is>
          <t>Accessory</t>
        </is>
      </c>
      <c r="H56" s="32" t="inlineStr">
        <is>
          <t>-</t>
        </is>
      </c>
      <c r="I56" s="30" t="n">
        <v>3</v>
      </c>
      <c r="J56" s="30" t="inlineStr">
        <is>
          <t>30sec/side</t>
        </is>
      </c>
      <c r="K56" s="30" t="inlineStr"/>
      <c r="L56" s="32" t="inlineStr"/>
      <c r="M56" s="32" t="inlineStr"/>
      <c r="N56" s="37" t="inlineStr"/>
      <c r="O56" s="8" t="inlineStr"/>
      <c r="P56" s="13" t="inlineStr"/>
      <c r="Q56" s="14" t="inlineStr">
        <is>
          <t>[ ]</t>
        </is>
      </c>
    </row>
    <row r="57" ht="22" customHeight="1">
      <c r="A57" s="28" t="n">
        <v>3</v>
      </c>
      <c r="B57" s="29" t="inlineStr">
        <is>
          <t>Accumulation</t>
        </is>
      </c>
      <c r="C57" s="30" t="n">
        <v>2</v>
      </c>
      <c r="D57" s="31" t="inlineStr">
        <is>
          <t>Tuesday — Bench</t>
        </is>
      </c>
      <c r="E57" s="32" t="n">
        <v>1</v>
      </c>
      <c r="F57" s="33" t="inlineStr">
        <is>
          <t>Bench</t>
        </is>
      </c>
      <c r="G57" s="34" t="inlineStr">
        <is>
          <t>Main Lift</t>
        </is>
      </c>
      <c r="H57" s="32" t="inlineStr">
        <is>
          <t>BENCH</t>
        </is>
      </c>
      <c r="I57" s="28" t="n">
        <v>7</v>
      </c>
      <c r="J57" s="28" t="inlineStr">
        <is>
          <t>4</t>
        </is>
      </c>
      <c r="K57" s="28" t="inlineStr">
        <is>
          <t>76%</t>
        </is>
      </c>
      <c r="L57" s="35">
        <f>ROUND('Setup &amp; Dashboard'!$C$8*0.76/5, 0)*5</f>
        <v/>
      </c>
      <c r="M57" s="28" t="inlineStr">
        <is>
          <t>RPE 7-8</t>
        </is>
      </c>
      <c r="N57" s="37" t="inlineStr"/>
      <c r="O57" s="8" t="inlineStr"/>
      <c r="P57" s="13" t="inlineStr"/>
      <c r="Q57" s="14" t="inlineStr">
        <is>
          <t>[ ]</t>
        </is>
      </c>
    </row>
    <row r="58" ht="22" customHeight="1">
      <c r="A58" s="28" t="n">
        <v>3</v>
      </c>
      <c r="B58" s="29" t="inlineStr">
        <is>
          <t>Accumulation</t>
        </is>
      </c>
      <c r="C58" s="30" t="n">
        <v>2</v>
      </c>
      <c r="D58" s="31" t="inlineStr">
        <is>
          <t>Tuesday — Bench</t>
        </is>
      </c>
      <c r="E58" s="32" t="n">
        <v>2</v>
      </c>
      <c r="F58" s="31" t="inlineStr">
        <is>
          <t>Close-grip bench</t>
        </is>
      </c>
      <c r="G58" s="32" t="inlineStr">
        <is>
          <t>Accessory</t>
        </is>
      </c>
      <c r="H58" s="32" t="inlineStr">
        <is>
          <t>-</t>
        </is>
      </c>
      <c r="I58" s="30" t="n">
        <v>3</v>
      </c>
      <c r="J58" s="30" t="inlineStr">
        <is>
          <t>5</t>
        </is>
      </c>
      <c r="K58" s="30" t="inlineStr"/>
      <c r="L58" s="32" t="inlineStr"/>
      <c r="M58" s="32" t="inlineStr"/>
      <c r="N58" s="37" t="inlineStr"/>
      <c r="O58" s="8" t="inlineStr"/>
      <c r="P58" s="13" t="inlineStr"/>
      <c r="Q58" s="14" t="inlineStr">
        <is>
          <t>[ ]</t>
        </is>
      </c>
    </row>
    <row r="59" ht="22" customHeight="1">
      <c r="A59" s="38" t="n">
        <v>3</v>
      </c>
      <c r="B59" s="29" t="inlineStr">
        <is>
          <t>Accumulation</t>
        </is>
      </c>
      <c r="C59" s="39" t="n">
        <v>2</v>
      </c>
      <c r="D59" s="40" t="inlineStr">
        <is>
          <t>Tuesday — Bench</t>
        </is>
      </c>
      <c r="E59" s="41" t="n">
        <v>3</v>
      </c>
      <c r="F59" s="40" t="inlineStr">
        <is>
          <t>Incline DB press</t>
        </is>
      </c>
      <c r="G59" s="41" t="inlineStr">
        <is>
          <t>Accessory</t>
        </is>
      </c>
      <c r="H59" s="41" t="inlineStr">
        <is>
          <t>-</t>
        </is>
      </c>
      <c r="I59" s="39" t="n">
        <v>3</v>
      </c>
      <c r="J59" s="39" t="inlineStr">
        <is>
          <t>10-12</t>
        </is>
      </c>
      <c r="K59" s="39" t="inlineStr"/>
      <c r="L59" s="32" t="inlineStr"/>
      <c r="M59" s="41" t="inlineStr"/>
      <c r="N59" s="37" t="inlineStr"/>
      <c r="O59" s="8" t="inlineStr"/>
      <c r="P59" s="13" t="inlineStr"/>
      <c r="Q59" s="14" t="inlineStr">
        <is>
          <t>[ ]</t>
        </is>
      </c>
    </row>
    <row r="60" ht="22" customHeight="1">
      <c r="A60" s="28" t="n">
        <v>3</v>
      </c>
      <c r="B60" s="29" t="inlineStr">
        <is>
          <t>Accumulation</t>
        </is>
      </c>
      <c r="C60" s="30" t="n">
        <v>2</v>
      </c>
      <c r="D60" s="31" t="inlineStr">
        <is>
          <t>Tuesday — Bench</t>
        </is>
      </c>
      <c r="E60" s="32" t="n">
        <v>4</v>
      </c>
      <c r="F60" s="31" t="inlineStr">
        <is>
          <t>Triceps pressdown</t>
        </is>
      </c>
      <c r="G60" s="32" t="inlineStr">
        <is>
          <t>Accessory</t>
        </is>
      </c>
      <c r="H60" s="32" t="inlineStr">
        <is>
          <t>-</t>
        </is>
      </c>
      <c r="I60" s="30" t="n">
        <v>3</v>
      </c>
      <c r="J60" s="30" t="inlineStr">
        <is>
          <t>12</t>
        </is>
      </c>
      <c r="K60" s="30" t="inlineStr"/>
      <c r="L60" s="32" t="inlineStr"/>
      <c r="M60" s="32" t="inlineStr"/>
      <c r="N60" s="37" t="inlineStr"/>
      <c r="O60" s="8" t="inlineStr"/>
      <c r="P60" s="13" t="inlineStr"/>
      <c r="Q60" s="14" t="inlineStr">
        <is>
          <t>[ ]</t>
        </is>
      </c>
    </row>
    <row r="61" ht="22" customHeight="1">
      <c r="A61" s="38" t="n">
        <v>3</v>
      </c>
      <c r="B61" s="29" t="inlineStr">
        <is>
          <t>Accumulation</t>
        </is>
      </c>
      <c r="C61" s="39" t="n">
        <v>2</v>
      </c>
      <c r="D61" s="40" t="inlineStr">
        <is>
          <t>Tuesday — Bench</t>
        </is>
      </c>
      <c r="E61" s="41" t="n">
        <v>5</v>
      </c>
      <c r="F61" s="40" t="inlineStr">
        <is>
          <t>Face pull</t>
        </is>
      </c>
      <c r="G61" s="41" t="inlineStr">
        <is>
          <t>Accessory</t>
        </is>
      </c>
      <c r="H61" s="41" t="inlineStr">
        <is>
          <t>-</t>
        </is>
      </c>
      <c r="I61" s="39" t="n">
        <v>3</v>
      </c>
      <c r="J61" s="39" t="inlineStr">
        <is>
          <t>15</t>
        </is>
      </c>
      <c r="K61" s="39" t="inlineStr"/>
      <c r="L61" s="32" t="inlineStr"/>
      <c r="M61" s="41" t="inlineStr"/>
      <c r="N61" s="37" t="inlineStr"/>
      <c r="O61" s="8" t="inlineStr"/>
      <c r="P61" s="13" t="inlineStr"/>
      <c r="Q61" s="14" t="inlineStr">
        <is>
          <t>[ ]</t>
        </is>
      </c>
    </row>
    <row r="62" ht="22" customHeight="1">
      <c r="A62" s="28" t="n">
        <v>3</v>
      </c>
      <c r="B62" s="29" t="inlineStr">
        <is>
          <t>Accumulation</t>
        </is>
      </c>
      <c r="C62" s="30" t="n">
        <v>3</v>
      </c>
      <c r="D62" s="31" t="inlineStr">
        <is>
          <t>Thursday — Deadlift</t>
        </is>
      </c>
      <c r="E62" s="32" t="n">
        <v>1</v>
      </c>
      <c r="F62" s="33" t="inlineStr">
        <is>
          <t>Deadlift</t>
        </is>
      </c>
      <c r="G62" s="34" t="inlineStr">
        <is>
          <t>Main Lift</t>
        </is>
      </c>
      <c r="H62" s="32" t="inlineStr">
        <is>
          <t>DEADLIFT</t>
        </is>
      </c>
      <c r="I62" s="28" t="n">
        <v>4</v>
      </c>
      <c r="J62" s="28" t="inlineStr">
        <is>
          <t>3</t>
        </is>
      </c>
      <c r="K62" s="28" t="inlineStr">
        <is>
          <t>76%</t>
        </is>
      </c>
      <c r="L62" s="35">
        <f>ROUND('Setup &amp; Dashboard'!$C$9*0.76/5, 0)*5</f>
        <v/>
      </c>
      <c r="M62" s="28" t="inlineStr">
        <is>
          <t>RPE 7-8</t>
        </is>
      </c>
      <c r="N62" s="37" t="inlineStr"/>
      <c r="O62" s="8" t="inlineStr"/>
      <c r="P62" s="13" t="inlineStr"/>
      <c r="Q62" s="14" t="inlineStr">
        <is>
          <t>[ ]</t>
        </is>
      </c>
    </row>
    <row r="63" ht="22" customHeight="1">
      <c r="A63" s="28" t="n">
        <v>3</v>
      </c>
      <c r="B63" s="29" t="inlineStr">
        <is>
          <t>Accumulation</t>
        </is>
      </c>
      <c r="C63" s="30" t="n">
        <v>3</v>
      </c>
      <c r="D63" s="31" t="inlineStr">
        <is>
          <t>Thursday — Deadlift</t>
        </is>
      </c>
      <c r="E63" s="32" t="n">
        <v>2</v>
      </c>
      <c r="F63" s="33" t="inlineStr">
        <is>
          <t>1.5-rep deadlift (knee height)</t>
        </is>
      </c>
      <c r="G63" s="34" t="inlineStr">
        <is>
          <t>Main Lift</t>
        </is>
      </c>
      <c r="H63" s="32" t="inlineStr">
        <is>
          <t>DEADLIFT</t>
        </is>
      </c>
      <c r="I63" s="28" t="n">
        <v>3</v>
      </c>
      <c r="J63" s="28" t="inlineStr">
        <is>
          <t>3</t>
        </is>
      </c>
      <c r="K63" s="28" t="inlineStr">
        <is>
          <t>60% + 10 lb</t>
        </is>
      </c>
      <c r="L63" s="35">
        <f>ROUND('Setup &amp; Dashboard'!$C$9*0.6/5, 0)*5+10</f>
        <v/>
      </c>
      <c r="M63" s="32" t="inlineStr"/>
      <c r="N63" s="36" t="inlineStr">
        <is>
          <t>Reset every rep; lower to just below knee, return to lockout, then lower fully. W1 60% DL max; add +5 lb/week only if clean and ≤RPE 7. Deload: 2x3 @55% max.</t>
        </is>
      </c>
      <c r="O63" s="8" t="inlineStr"/>
      <c r="P63" s="13" t="inlineStr"/>
      <c r="Q63" s="14" t="inlineStr">
        <is>
          <t>[ ]</t>
        </is>
      </c>
    </row>
    <row r="64" ht="22" customHeight="1">
      <c r="A64" s="28" t="n">
        <v>3</v>
      </c>
      <c r="B64" s="29" t="inlineStr">
        <is>
          <t>Accumulation</t>
        </is>
      </c>
      <c r="C64" s="30" t="n">
        <v>3</v>
      </c>
      <c r="D64" s="31" t="inlineStr">
        <is>
          <t>Thursday — Deadlift</t>
        </is>
      </c>
      <c r="E64" s="32" t="n">
        <v>3</v>
      </c>
      <c r="F64" s="31" t="inlineStr">
        <is>
          <t>Reverse hyper</t>
        </is>
      </c>
      <c r="G64" s="32" t="inlineStr">
        <is>
          <t>Accessory</t>
        </is>
      </c>
      <c r="H64" s="32" t="inlineStr">
        <is>
          <t>-</t>
        </is>
      </c>
      <c r="I64" s="30" t="n">
        <v>2</v>
      </c>
      <c r="J64" s="30" t="inlineStr">
        <is>
          <t>15</t>
        </is>
      </c>
      <c r="K64" s="30" t="inlineStr"/>
      <c r="L64" s="32" t="inlineStr"/>
      <c r="M64" s="32" t="inlineStr"/>
      <c r="N64" s="37" t="inlineStr"/>
      <c r="O64" s="8" t="inlineStr"/>
      <c r="P64" s="13" t="inlineStr"/>
      <c r="Q64" s="14" t="inlineStr">
        <is>
          <t>[ ]</t>
        </is>
      </c>
    </row>
    <row r="65" ht="22" customHeight="1">
      <c r="A65" s="38" t="n">
        <v>3</v>
      </c>
      <c r="B65" s="29" t="inlineStr">
        <is>
          <t>Accumulation</t>
        </is>
      </c>
      <c r="C65" s="39" t="n">
        <v>3</v>
      </c>
      <c r="D65" s="40" t="inlineStr">
        <is>
          <t>Thursday — Deadlift</t>
        </is>
      </c>
      <c r="E65" s="41" t="n">
        <v>4</v>
      </c>
      <c r="F65" s="40" t="inlineStr">
        <is>
          <t>Jefferson curl</t>
        </is>
      </c>
      <c r="G65" s="41" t="inlineStr">
        <is>
          <t>Accessory</t>
        </is>
      </c>
      <c r="H65" s="41" t="inlineStr">
        <is>
          <t>-</t>
        </is>
      </c>
      <c r="I65" s="39" t="n">
        <v>2</v>
      </c>
      <c r="J65" s="39" t="inlineStr">
        <is>
          <t>8</t>
        </is>
      </c>
      <c r="K65" s="39" t="inlineStr"/>
      <c r="L65" s="32" t="inlineStr"/>
      <c r="M65" s="41" t="inlineStr"/>
      <c r="N65" s="37" t="inlineStr"/>
      <c r="O65" s="8" t="inlineStr"/>
      <c r="P65" s="13" t="inlineStr"/>
      <c r="Q65" s="14" t="inlineStr">
        <is>
          <t>[ ]</t>
        </is>
      </c>
    </row>
    <row r="66" ht="22" customHeight="1">
      <c r="A66" s="28" t="n">
        <v>3</v>
      </c>
      <c r="B66" s="29" t="inlineStr">
        <is>
          <t>Accumulation</t>
        </is>
      </c>
      <c r="C66" s="30" t="n">
        <v>4</v>
      </c>
      <c r="D66" s="31" t="inlineStr">
        <is>
          <t>Friday — Bench variant / upper body</t>
        </is>
      </c>
      <c r="E66" s="32" t="n">
        <v>1</v>
      </c>
      <c r="F66" s="33" t="inlineStr">
        <is>
          <t>Spoto press</t>
        </is>
      </c>
      <c r="G66" s="34" t="inlineStr">
        <is>
          <t>Main Lift</t>
        </is>
      </c>
      <c r="H66" s="32" t="inlineStr">
        <is>
          <t>BENCH</t>
        </is>
      </c>
      <c r="I66" s="28" t="n">
        <v>4</v>
      </c>
      <c r="J66" s="28" t="inlineStr">
        <is>
          <t>4</t>
        </is>
      </c>
      <c r="K66" s="28" t="inlineStr">
        <is>
          <t>60%</t>
        </is>
      </c>
      <c r="L66" s="35">
        <f>ROUND('Setup &amp; Dashboard'!$C$8*0.6/5, 0)*5</f>
        <v/>
      </c>
      <c r="M66" s="28" t="inlineStr">
        <is>
          <t>RPE 6-7</t>
        </is>
      </c>
      <c r="N66" s="37" t="inlineStr"/>
      <c r="O66" s="8" t="inlineStr"/>
      <c r="P66" s="13" t="inlineStr"/>
      <c r="Q66" s="14" t="inlineStr">
        <is>
          <t>[ ]</t>
        </is>
      </c>
    </row>
    <row r="67" ht="22" customHeight="1">
      <c r="A67" s="38" t="n">
        <v>3</v>
      </c>
      <c r="B67" s="29" t="inlineStr">
        <is>
          <t>Accumulation</t>
        </is>
      </c>
      <c r="C67" s="39" t="n">
        <v>4</v>
      </c>
      <c r="D67" s="40" t="inlineStr">
        <is>
          <t>Friday — Bench variant / upper body</t>
        </is>
      </c>
      <c r="E67" s="41" t="n">
        <v>2</v>
      </c>
      <c r="F67" s="40" t="inlineStr">
        <is>
          <t>Lat pulldown</t>
        </is>
      </c>
      <c r="G67" s="41" t="inlineStr">
        <is>
          <t>Accessory</t>
        </is>
      </c>
      <c r="H67" s="41" t="inlineStr">
        <is>
          <t>-</t>
        </is>
      </c>
      <c r="I67" s="39" t="n">
        <v>3</v>
      </c>
      <c r="J67" s="39" t="inlineStr">
        <is>
          <t>12</t>
        </is>
      </c>
      <c r="K67" s="39" t="inlineStr"/>
      <c r="L67" s="32" t="inlineStr"/>
      <c r="M67" s="41" t="inlineStr"/>
      <c r="N67" s="37" t="inlineStr"/>
      <c r="O67" s="8" t="inlineStr"/>
      <c r="P67" s="13" t="inlineStr"/>
      <c r="Q67" s="14" t="inlineStr">
        <is>
          <t>[ ]</t>
        </is>
      </c>
    </row>
    <row r="68" ht="22" customHeight="1">
      <c r="A68" s="28" t="n">
        <v>3</v>
      </c>
      <c r="B68" s="29" t="inlineStr">
        <is>
          <t>Accumulation</t>
        </is>
      </c>
      <c r="C68" s="30" t="n">
        <v>4</v>
      </c>
      <c r="D68" s="31" t="inlineStr">
        <is>
          <t>Friday — Bench variant / upper body</t>
        </is>
      </c>
      <c r="E68" s="32" t="n">
        <v>3</v>
      </c>
      <c r="F68" s="31" t="inlineStr">
        <is>
          <t>Lateral raise</t>
        </is>
      </c>
      <c r="G68" s="32" t="inlineStr">
        <is>
          <t>Accessory</t>
        </is>
      </c>
      <c r="H68" s="32" t="inlineStr">
        <is>
          <t>-</t>
        </is>
      </c>
      <c r="I68" s="30" t="n">
        <v>3</v>
      </c>
      <c r="J68" s="30" t="inlineStr">
        <is>
          <t>15</t>
        </is>
      </c>
      <c r="K68" s="30" t="inlineStr"/>
      <c r="L68" s="32" t="inlineStr"/>
      <c r="M68" s="32" t="inlineStr"/>
      <c r="N68" s="37" t="inlineStr"/>
      <c r="O68" s="8" t="inlineStr"/>
      <c r="P68" s="13" t="inlineStr"/>
      <c r="Q68" s="14" t="inlineStr">
        <is>
          <t>[ ]</t>
        </is>
      </c>
    </row>
    <row r="69" ht="22" customHeight="1">
      <c r="A69" s="38" t="n">
        <v>3</v>
      </c>
      <c r="B69" s="29" t="inlineStr">
        <is>
          <t>Accumulation</t>
        </is>
      </c>
      <c r="C69" s="39" t="n">
        <v>4</v>
      </c>
      <c r="D69" s="40" t="inlineStr">
        <is>
          <t>Friday — Bench variant / upper body</t>
        </is>
      </c>
      <c r="E69" s="41" t="n">
        <v>4</v>
      </c>
      <c r="F69" s="40" t="inlineStr">
        <is>
          <t>Curl</t>
        </is>
      </c>
      <c r="G69" s="41" t="inlineStr">
        <is>
          <t>Accessory</t>
        </is>
      </c>
      <c r="H69" s="41" t="inlineStr">
        <is>
          <t>-</t>
        </is>
      </c>
      <c r="I69" s="39" t="n">
        <v>3</v>
      </c>
      <c r="J69" s="39" t="inlineStr">
        <is>
          <t>12</t>
        </is>
      </c>
      <c r="K69" s="39" t="inlineStr"/>
      <c r="L69" s="32" t="inlineStr"/>
      <c r="M69" s="41" t="inlineStr"/>
      <c r="N69" s="37" t="inlineStr"/>
      <c r="O69" s="8" t="inlineStr"/>
      <c r="P69" s="13" t="inlineStr"/>
      <c r="Q69" s="14" t="inlineStr">
        <is>
          <t>[ ]</t>
        </is>
      </c>
    </row>
    <row r="70" ht="22" customHeight="1">
      <c r="A70" s="28" t="n">
        <v>3</v>
      </c>
      <c r="B70" s="29" t="inlineStr">
        <is>
          <t>Accumulation</t>
        </is>
      </c>
      <c r="C70" s="30" t="n">
        <v>4</v>
      </c>
      <c r="D70" s="31" t="inlineStr">
        <is>
          <t>Friday — Bench variant / upper body</t>
        </is>
      </c>
      <c r="E70" s="32" t="n">
        <v>5</v>
      </c>
      <c r="F70" s="31" t="inlineStr">
        <is>
          <t>Pallof press</t>
        </is>
      </c>
      <c r="G70" s="32" t="inlineStr">
        <is>
          <t>Accessory</t>
        </is>
      </c>
      <c r="H70" s="32" t="inlineStr">
        <is>
          <t>-</t>
        </is>
      </c>
      <c r="I70" s="30" t="n">
        <v>3</v>
      </c>
      <c r="J70" s="30" t="inlineStr">
        <is>
          <t>10/side</t>
        </is>
      </c>
      <c r="K70" s="30" t="inlineStr"/>
      <c r="L70" s="32" t="inlineStr"/>
      <c r="M70" s="32" t="inlineStr"/>
      <c r="N70" s="37" t="inlineStr"/>
      <c r="O70" s="8" t="inlineStr"/>
      <c r="P70" s="13" t="inlineStr"/>
      <c r="Q70" s="14" t="inlineStr">
        <is>
          <t>[ ]</t>
        </is>
      </c>
    </row>
    <row r="71" ht="22" customHeight="1">
      <c r="A71" s="28" t="n">
        <v>3</v>
      </c>
      <c r="B71" s="29" t="inlineStr">
        <is>
          <t>Accumulation</t>
        </is>
      </c>
      <c r="C71" s="30" t="n">
        <v>5</v>
      </c>
      <c r="D71" s="31" t="inlineStr">
        <is>
          <t>Saturday — Squat variant + Bent-over row</t>
        </is>
      </c>
      <c r="E71" s="32" t="n">
        <v>1</v>
      </c>
      <c r="F71" s="33" t="inlineStr">
        <is>
          <t>Paused squat</t>
        </is>
      </c>
      <c r="G71" s="34" t="inlineStr">
        <is>
          <t>Main Lift</t>
        </is>
      </c>
      <c r="H71" s="32" t="inlineStr">
        <is>
          <t>SQUAT</t>
        </is>
      </c>
      <c r="I71" s="28" t="n">
        <v>3</v>
      </c>
      <c r="J71" s="28" t="inlineStr">
        <is>
          <t>4</t>
        </is>
      </c>
      <c r="K71" s="28" t="inlineStr">
        <is>
          <t>70% + 10 lb</t>
        </is>
      </c>
      <c r="L71" s="35">
        <f>ROUND('Setup &amp; Dashboard'!$C$7*0.7/5, 0)*5+10</f>
        <v/>
      </c>
      <c r="M71" s="28" t="inlineStr">
        <is>
          <t>RPE ≤8</t>
        </is>
      </c>
      <c r="N71" s="36" t="inlineStr">
        <is>
          <t>Clean reps; no grinding</t>
        </is>
      </c>
      <c r="O71" s="8" t="inlineStr"/>
      <c r="P71" s="13" t="inlineStr"/>
      <c r="Q71" s="14" t="inlineStr">
        <is>
          <t>[ ]</t>
        </is>
      </c>
    </row>
    <row r="72" ht="22" customHeight="1">
      <c r="A72" s="28" t="n">
        <v>3</v>
      </c>
      <c r="B72" s="29" t="inlineStr">
        <is>
          <t>Accumulation</t>
        </is>
      </c>
      <c r="C72" s="30" t="n">
        <v>5</v>
      </c>
      <c r="D72" s="31" t="inlineStr">
        <is>
          <t>Saturday — Squat variant + Bent-over row</t>
        </is>
      </c>
      <c r="E72" s="32" t="n">
        <v>2</v>
      </c>
      <c r="F72" s="31" t="inlineStr">
        <is>
          <t>Bent-over row</t>
        </is>
      </c>
      <c r="G72" s="32" t="inlineStr">
        <is>
          <t>Accessory</t>
        </is>
      </c>
      <c r="H72" s="32" t="inlineStr">
        <is>
          <t>ROW</t>
        </is>
      </c>
      <c r="I72" s="30" t="n">
        <v>4</v>
      </c>
      <c r="J72" s="30" t="inlineStr">
        <is>
          <t>4-6</t>
        </is>
      </c>
      <c r="K72" s="30" t="inlineStr">
        <is>
          <t>Linear +5lb</t>
        </is>
      </c>
      <c r="L72" s="35">
        <f>'Setup &amp; Dashboard'!$C$10+(3-1)*5</f>
        <v/>
      </c>
      <c r="M72" s="32" t="inlineStr"/>
      <c r="N72" s="36" t="inlineStr">
        <is>
          <t>4 strict sets. Add 5 lb next exposure only when every set is clean and ≤RPE 8; deload load/reps, no failure.</t>
        </is>
      </c>
      <c r="O72" s="8" t="inlineStr"/>
      <c r="P72" s="13" t="inlineStr"/>
      <c r="Q72" s="14" t="inlineStr">
        <is>
          <t>[ ]</t>
        </is>
      </c>
    </row>
    <row r="73" ht="22" customHeight="1">
      <c r="A73" s="38" t="n">
        <v>3</v>
      </c>
      <c r="B73" s="29" t="inlineStr">
        <is>
          <t>Accumulation</t>
        </is>
      </c>
      <c r="C73" s="39" t="n">
        <v>5</v>
      </c>
      <c r="D73" s="40" t="inlineStr">
        <is>
          <t>Saturday — Squat variant + Bent-over row</t>
        </is>
      </c>
      <c r="E73" s="41" t="n">
        <v>3</v>
      </c>
      <c r="F73" s="40" t="inlineStr">
        <is>
          <t>Reverse hyper</t>
        </is>
      </c>
      <c r="G73" s="41" t="inlineStr">
        <is>
          <t>Accessory</t>
        </is>
      </c>
      <c r="H73" s="41" t="inlineStr">
        <is>
          <t>-</t>
        </is>
      </c>
      <c r="I73" s="39" t="n">
        <v>2</v>
      </c>
      <c r="J73" s="39" t="inlineStr">
        <is>
          <t>12</t>
        </is>
      </c>
      <c r="K73" s="39" t="inlineStr"/>
      <c r="L73" s="32" t="inlineStr"/>
      <c r="M73" s="41" t="inlineStr"/>
      <c r="N73" s="37" t="inlineStr"/>
      <c r="O73" s="8" t="inlineStr"/>
      <c r="P73" s="13" t="inlineStr"/>
      <c r="Q73" s="14" t="inlineStr">
        <is>
          <t>[ ]</t>
        </is>
      </c>
    </row>
    <row r="74" ht="22" customHeight="1">
      <c r="A74" s="28" t="n">
        <v>3</v>
      </c>
      <c r="B74" s="29" t="inlineStr">
        <is>
          <t>Accumulation</t>
        </is>
      </c>
      <c r="C74" s="30" t="n">
        <v>5</v>
      </c>
      <c r="D74" s="31" t="inlineStr">
        <is>
          <t>Saturday — Squat variant + Bent-over row</t>
        </is>
      </c>
      <c r="E74" s="32" t="n">
        <v>4</v>
      </c>
      <c r="F74" s="31" t="inlineStr">
        <is>
          <t>GHR or Nordic curl</t>
        </is>
      </c>
      <c r="G74" s="32" t="inlineStr">
        <is>
          <t>Accessory</t>
        </is>
      </c>
      <c r="H74" s="32" t="inlineStr">
        <is>
          <t>-</t>
        </is>
      </c>
      <c r="I74" s="30" t="n">
        <v>3</v>
      </c>
      <c r="J74" s="30" t="inlineStr">
        <is>
          <t>8</t>
        </is>
      </c>
      <c r="K74" s="30" t="inlineStr"/>
      <c r="L74" s="32" t="inlineStr"/>
      <c r="M74" s="32" t="inlineStr"/>
      <c r="N74" s="37" t="inlineStr"/>
      <c r="O74" s="8" t="inlineStr"/>
      <c r="P74" s="13" t="inlineStr"/>
      <c r="Q74" s="14" t="inlineStr">
        <is>
          <t>[ ]</t>
        </is>
      </c>
    </row>
    <row r="75" ht="22" customHeight="1">
      <c r="A75" s="28" t="n">
        <v>4</v>
      </c>
      <c r="B75" s="42" t="inlineStr">
        <is>
          <t>Accumulation Peak</t>
        </is>
      </c>
      <c r="C75" s="30" t="n">
        <v>1</v>
      </c>
      <c r="D75" s="31" t="inlineStr">
        <is>
          <t>Monday — Squat</t>
        </is>
      </c>
      <c r="E75" s="32" t="n">
        <v>1</v>
      </c>
      <c r="F75" s="33" t="inlineStr">
        <is>
          <t>Squat — top single</t>
        </is>
      </c>
      <c r="G75" s="34" t="inlineStr">
        <is>
          <t>Main Lift</t>
        </is>
      </c>
      <c r="H75" s="32" t="inlineStr">
        <is>
          <t>SQUAT</t>
        </is>
      </c>
      <c r="I75" s="28" t="n">
        <v>1</v>
      </c>
      <c r="J75" s="28" t="inlineStr">
        <is>
          <t>1</t>
        </is>
      </c>
      <c r="K75" s="28" t="inlineStr">
        <is>
          <t>87%</t>
        </is>
      </c>
      <c r="L75" s="35">
        <f>ROUND('Setup &amp; Dashboard'!$C$7*0.87/5, 0)*5</f>
        <v/>
      </c>
      <c r="M75" s="28" t="inlineStr">
        <is>
          <t>RPE 7.5-8</t>
        </is>
      </c>
      <c r="N75" s="36" t="inlineStr">
        <is>
          <t>Smooth single, no grind</t>
        </is>
      </c>
      <c r="O75" s="8" t="inlineStr"/>
      <c r="P75" s="13" t="inlineStr"/>
      <c r="Q75" s="14" t="inlineStr">
        <is>
          <t>[ ]</t>
        </is>
      </c>
    </row>
    <row r="76" ht="22" customHeight="1">
      <c r="A76" s="28" t="n">
        <v>4</v>
      </c>
      <c r="B76" s="42" t="inlineStr">
        <is>
          <t>Accumulation Peak</t>
        </is>
      </c>
      <c r="C76" s="30" t="n">
        <v>1</v>
      </c>
      <c r="D76" s="31" t="inlineStr">
        <is>
          <t>Monday — Squat</t>
        </is>
      </c>
      <c r="E76" s="32" t="n">
        <v>2</v>
      </c>
      <c r="F76" s="33" t="inlineStr">
        <is>
          <t>Squat — back-off</t>
        </is>
      </c>
      <c r="G76" s="34" t="inlineStr">
        <is>
          <t>Main Lift</t>
        </is>
      </c>
      <c r="H76" s="32" t="inlineStr">
        <is>
          <t>SQUAT</t>
        </is>
      </c>
      <c r="I76" s="28" t="n">
        <v>6</v>
      </c>
      <c r="J76" s="28" t="inlineStr">
        <is>
          <t>3</t>
        </is>
      </c>
      <c r="K76" s="28" t="inlineStr">
        <is>
          <t>80%</t>
        </is>
      </c>
      <c r="L76" s="35">
        <f>ROUND('Setup &amp; Dashboard'!$C$7*0.8/5, 0)*5</f>
        <v/>
      </c>
      <c r="M76" s="28" t="inlineStr">
        <is>
          <t>RPE 8</t>
        </is>
      </c>
      <c r="N76" s="37" t="inlineStr"/>
      <c r="O76" s="8" t="inlineStr"/>
      <c r="P76" s="13" t="inlineStr"/>
      <c r="Q76" s="14" t="inlineStr">
        <is>
          <t>[ ]</t>
        </is>
      </c>
    </row>
    <row r="77" ht="22" customHeight="1">
      <c r="A77" s="38" t="n">
        <v>4</v>
      </c>
      <c r="B77" s="42" t="inlineStr">
        <is>
          <t>Accumulation Peak</t>
        </is>
      </c>
      <c r="C77" s="39" t="n">
        <v>1</v>
      </c>
      <c r="D77" s="40" t="inlineStr">
        <is>
          <t>Monday — Squat</t>
        </is>
      </c>
      <c r="E77" s="41" t="n">
        <v>3</v>
      </c>
      <c r="F77" s="40" t="inlineStr">
        <is>
          <t>Bulgarian split squat</t>
        </is>
      </c>
      <c r="G77" s="41" t="inlineStr">
        <is>
          <t>Accessory</t>
        </is>
      </c>
      <c r="H77" s="41" t="inlineStr">
        <is>
          <t>-</t>
        </is>
      </c>
      <c r="I77" s="39" t="n">
        <v>2</v>
      </c>
      <c r="J77" s="39" t="inlineStr">
        <is>
          <t>8/leg</t>
        </is>
      </c>
      <c r="K77" s="39" t="inlineStr"/>
      <c r="L77" s="32" t="inlineStr"/>
      <c r="M77" s="41" t="inlineStr"/>
      <c r="N77" s="37" t="inlineStr"/>
      <c r="O77" s="8" t="inlineStr"/>
      <c r="P77" s="13" t="inlineStr"/>
      <c r="Q77" s="14" t="inlineStr">
        <is>
          <t>[ ]</t>
        </is>
      </c>
    </row>
    <row r="78" ht="22" customHeight="1">
      <c r="A78" s="28" t="n">
        <v>4</v>
      </c>
      <c r="B78" s="42" t="inlineStr">
        <is>
          <t>Accumulation Peak</t>
        </is>
      </c>
      <c r="C78" s="30" t="n">
        <v>1</v>
      </c>
      <c r="D78" s="31" t="inlineStr">
        <is>
          <t>Monday — Squat</t>
        </is>
      </c>
      <c r="E78" s="32" t="n">
        <v>4</v>
      </c>
      <c r="F78" s="31" t="inlineStr">
        <is>
          <t>Leg curl</t>
        </is>
      </c>
      <c r="G78" s="32" t="inlineStr">
        <is>
          <t>Accessory</t>
        </is>
      </c>
      <c r="H78" s="32" t="inlineStr">
        <is>
          <t>-</t>
        </is>
      </c>
      <c r="I78" s="30" t="n">
        <v>3</v>
      </c>
      <c r="J78" s="30" t="inlineStr">
        <is>
          <t>10-12</t>
        </is>
      </c>
      <c r="K78" s="30" t="inlineStr"/>
      <c r="L78" s="32" t="inlineStr"/>
      <c r="M78" s="32" t="inlineStr"/>
      <c r="N78" s="37" t="inlineStr"/>
      <c r="O78" s="8" t="inlineStr"/>
      <c r="P78" s="13" t="inlineStr"/>
      <c r="Q78" s="14" t="inlineStr">
        <is>
          <t>[ ]</t>
        </is>
      </c>
    </row>
    <row r="79" ht="22" customHeight="1">
      <c r="A79" s="38" t="n">
        <v>4</v>
      </c>
      <c r="B79" s="42" t="inlineStr">
        <is>
          <t>Accumulation Peak</t>
        </is>
      </c>
      <c r="C79" s="39" t="n">
        <v>1</v>
      </c>
      <c r="D79" s="40" t="inlineStr">
        <is>
          <t>Monday — Squat</t>
        </is>
      </c>
      <c r="E79" s="41" t="n">
        <v>5</v>
      </c>
      <c r="F79" s="40" t="inlineStr">
        <is>
          <t>Copenhagen plank</t>
        </is>
      </c>
      <c r="G79" s="41" t="inlineStr">
        <is>
          <t>Accessory</t>
        </is>
      </c>
      <c r="H79" s="41" t="inlineStr">
        <is>
          <t>-</t>
        </is>
      </c>
      <c r="I79" s="39" t="n">
        <v>3</v>
      </c>
      <c r="J79" s="39" t="inlineStr">
        <is>
          <t>30sec/side</t>
        </is>
      </c>
      <c r="K79" s="39" t="inlineStr"/>
      <c r="L79" s="32" t="inlineStr"/>
      <c r="M79" s="41" t="inlineStr"/>
      <c r="N79" s="37" t="inlineStr"/>
      <c r="O79" s="8" t="inlineStr"/>
      <c r="P79" s="13" t="inlineStr"/>
      <c r="Q79" s="14" t="inlineStr">
        <is>
          <t>[ ]</t>
        </is>
      </c>
    </row>
    <row r="80" ht="22" customHeight="1">
      <c r="A80" s="28" t="n">
        <v>4</v>
      </c>
      <c r="B80" s="42" t="inlineStr">
        <is>
          <t>Accumulation Peak</t>
        </is>
      </c>
      <c r="C80" s="30" t="n">
        <v>2</v>
      </c>
      <c r="D80" s="31" t="inlineStr">
        <is>
          <t>Tuesday — Bench</t>
        </is>
      </c>
      <c r="E80" s="32" t="n">
        <v>1</v>
      </c>
      <c r="F80" s="33" t="inlineStr">
        <is>
          <t>Bench</t>
        </is>
      </c>
      <c r="G80" s="34" t="inlineStr">
        <is>
          <t>Main Lift</t>
        </is>
      </c>
      <c r="H80" s="32" t="inlineStr">
        <is>
          <t>BENCH</t>
        </is>
      </c>
      <c r="I80" s="28" t="n">
        <v>8</v>
      </c>
      <c r="J80" s="28" t="inlineStr">
        <is>
          <t>3</t>
        </is>
      </c>
      <c r="K80" s="28" t="inlineStr">
        <is>
          <t>80%</t>
        </is>
      </c>
      <c r="L80" s="35">
        <f>ROUND('Setup &amp; Dashboard'!$C$8*0.8/5, 0)*5</f>
        <v/>
      </c>
      <c r="M80" s="28" t="inlineStr">
        <is>
          <t>RPE 8</t>
        </is>
      </c>
      <c r="N80" s="37" t="inlineStr"/>
      <c r="O80" s="8" t="inlineStr"/>
      <c r="P80" s="13" t="inlineStr"/>
      <c r="Q80" s="14" t="inlineStr">
        <is>
          <t>[ ]</t>
        </is>
      </c>
    </row>
    <row r="81" ht="22" customHeight="1">
      <c r="A81" s="38" t="n">
        <v>4</v>
      </c>
      <c r="B81" s="42" t="inlineStr">
        <is>
          <t>Accumulation Peak</t>
        </is>
      </c>
      <c r="C81" s="39" t="n">
        <v>2</v>
      </c>
      <c r="D81" s="40" t="inlineStr">
        <is>
          <t>Tuesday — Bench</t>
        </is>
      </c>
      <c r="E81" s="41" t="n">
        <v>2</v>
      </c>
      <c r="F81" s="40" t="inlineStr">
        <is>
          <t>Close-grip bench</t>
        </is>
      </c>
      <c r="G81" s="41" t="inlineStr">
        <is>
          <t>Accessory</t>
        </is>
      </c>
      <c r="H81" s="41" t="inlineStr">
        <is>
          <t>-</t>
        </is>
      </c>
      <c r="I81" s="39" t="n">
        <v>3</v>
      </c>
      <c r="J81" s="39" t="inlineStr">
        <is>
          <t>5</t>
        </is>
      </c>
      <c r="K81" s="39" t="inlineStr"/>
      <c r="L81" s="32" t="inlineStr"/>
      <c r="M81" s="41" t="inlineStr"/>
      <c r="N81" s="37" t="inlineStr"/>
      <c r="O81" s="8" t="inlineStr"/>
      <c r="P81" s="13" t="inlineStr"/>
      <c r="Q81" s="14" t="inlineStr">
        <is>
          <t>[ ]</t>
        </is>
      </c>
    </row>
    <row r="82" ht="22" customHeight="1">
      <c r="A82" s="28" t="n">
        <v>4</v>
      </c>
      <c r="B82" s="42" t="inlineStr">
        <is>
          <t>Accumulation Peak</t>
        </is>
      </c>
      <c r="C82" s="30" t="n">
        <v>2</v>
      </c>
      <c r="D82" s="31" t="inlineStr">
        <is>
          <t>Tuesday — Bench</t>
        </is>
      </c>
      <c r="E82" s="32" t="n">
        <v>3</v>
      </c>
      <c r="F82" s="31" t="inlineStr">
        <is>
          <t>Incline DB press</t>
        </is>
      </c>
      <c r="G82" s="32" t="inlineStr">
        <is>
          <t>Accessory</t>
        </is>
      </c>
      <c r="H82" s="32" t="inlineStr">
        <is>
          <t>-</t>
        </is>
      </c>
      <c r="I82" s="30" t="n">
        <v>3</v>
      </c>
      <c r="J82" s="30" t="inlineStr">
        <is>
          <t>10</t>
        </is>
      </c>
      <c r="K82" s="30" t="inlineStr"/>
      <c r="L82" s="32" t="inlineStr"/>
      <c r="M82" s="32" t="inlineStr"/>
      <c r="N82" s="37" t="inlineStr"/>
      <c r="O82" s="8" t="inlineStr"/>
      <c r="P82" s="13" t="inlineStr"/>
      <c r="Q82" s="14" t="inlineStr">
        <is>
          <t>[ ]</t>
        </is>
      </c>
    </row>
    <row r="83" ht="22" customHeight="1">
      <c r="A83" s="38" t="n">
        <v>4</v>
      </c>
      <c r="B83" s="42" t="inlineStr">
        <is>
          <t>Accumulation Peak</t>
        </is>
      </c>
      <c r="C83" s="39" t="n">
        <v>2</v>
      </c>
      <c r="D83" s="40" t="inlineStr">
        <is>
          <t>Tuesday — Bench</t>
        </is>
      </c>
      <c r="E83" s="41" t="n">
        <v>4</v>
      </c>
      <c r="F83" s="40" t="inlineStr">
        <is>
          <t>Triceps pressdown</t>
        </is>
      </c>
      <c r="G83" s="41" t="inlineStr">
        <is>
          <t>Accessory</t>
        </is>
      </c>
      <c r="H83" s="41" t="inlineStr">
        <is>
          <t>-</t>
        </is>
      </c>
      <c r="I83" s="39" t="n">
        <v>3</v>
      </c>
      <c r="J83" s="39" t="inlineStr">
        <is>
          <t>12</t>
        </is>
      </c>
      <c r="K83" s="39" t="inlineStr"/>
      <c r="L83" s="32" t="inlineStr"/>
      <c r="M83" s="41" t="inlineStr"/>
      <c r="N83" s="37" t="inlineStr"/>
      <c r="O83" s="8" t="inlineStr"/>
      <c r="P83" s="13" t="inlineStr"/>
      <c r="Q83" s="14" t="inlineStr">
        <is>
          <t>[ ]</t>
        </is>
      </c>
    </row>
    <row r="84" ht="22" customHeight="1">
      <c r="A84" s="28" t="n">
        <v>4</v>
      </c>
      <c r="B84" s="42" t="inlineStr">
        <is>
          <t>Accumulation Peak</t>
        </is>
      </c>
      <c r="C84" s="30" t="n">
        <v>2</v>
      </c>
      <c r="D84" s="31" t="inlineStr">
        <is>
          <t>Tuesday — Bench</t>
        </is>
      </c>
      <c r="E84" s="32" t="n">
        <v>5</v>
      </c>
      <c r="F84" s="31" t="inlineStr">
        <is>
          <t>Face pull</t>
        </is>
      </c>
      <c r="G84" s="32" t="inlineStr">
        <is>
          <t>Accessory</t>
        </is>
      </c>
      <c r="H84" s="32" t="inlineStr">
        <is>
          <t>-</t>
        </is>
      </c>
      <c r="I84" s="30" t="n">
        <v>3</v>
      </c>
      <c r="J84" s="30" t="inlineStr">
        <is>
          <t>15</t>
        </is>
      </c>
      <c r="K84" s="30" t="inlineStr"/>
      <c r="L84" s="32" t="inlineStr"/>
      <c r="M84" s="32" t="inlineStr"/>
      <c r="N84" s="37" t="inlineStr"/>
      <c r="O84" s="8" t="inlineStr"/>
      <c r="P84" s="13" t="inlineStr"/>
      <c r="Q84" s="14" t="inlineStr">
        <is>
          <t>[ ]</t>
        </is>
      </c>
    </row>
    <row r="85" ht="22" customHeight="1">
      <c r="A85" s="28" t="n">
        <v>4</v>
      </c>
      <c r="B85" s="42" t="inlineStr">
        <is>
          <t>Accumulation Peak</t>
        </is>
      </c>
      <c r="C85" s="30" t="n">
        <v>3</v>
      </c>
      <c r="D85" s="31" t="inlineStr">
        <is>
          <t>Thursday — Deadlift</t>
        </is>
      </c>
      <c r="E85" s="32" t="n">
        <v>1</v>
      </c>
      <c r="F85" s="33" t="inlineStr">
        <is>
          <t>Deadlift</t>
        </is>
      </c>
      <c r="G85" s="34" t="inlineStr">
        <is>
          <t>Main Lift</t>
        </is>
      </c>
      <c r="H85" s="32" t="inlineStr">
        <is>
          <t>DEADLIFT</t>
        </is>
      </c>
      <c r="I85" s="28" t="n">
        <v>4</v>
      </c>
      <c r="J85" s="28" t="inlineStr">
        <is>
          <t>3</t>
        </is>
      </c>
      <c r="K85" s="28" t="inlineStr">
        <is>
          <t>80%</t>
        </is>
      </c>
      <c r="L85" s="35">
        <f>ROUND('Setup &amp; Dashboard'!$C$9*0.8/5, 0)*5</f>
        <v/>
      </c>
      <c r="M85" s="28" t="inlineStr">
        <is>
          <t>RPE 8</t>
        </is>
      </c>
      <c r="N85" s="37" t="inlineStr"/>
      <c r="O85" s="8" t="inlineStr"/>
      <c r="P85" s="13" t="inlineStr"/>
      <c r="Q85" s="14" t="inlineStr">
        <is>
          <t>[ ]</t>
        </is>
      </c>
    </row>
    <row r="86" ht="22" customHeight="1">
      <c r="A86" s="28" t="n">
        <v>4</v>
      </c>
      <c r="B86" s="42" t="inlineStr">
        <is>
          <t>Accumulation Peak</t>
        </is>
      </c>
      <c r="C86" s="30" t="n">
        <v>3</v>
      </c>
      <c r="D86" s="31" t="inlineStr">
        <is>
          <t>Thursday — Deadlift</t>
        </is>
      </c>
      <c r="E86" s="32" t="n">
        <v>2</v>
      </c>
      <c r="F86" s="33" t="inlineStr">
        <is>
          <t>1.5-rep deadlift (knee height)</t>
        </is>
      </c>
      <c r="G86" s="34" t="inlineStr">
        <is>
          <t>Main Lift</t>
        </is>
      </c>
      <c r="H86" s="32" t="inlineStr">
        <is>
          <t>DEADLIFT</t>
        </is>
      </c>
      <c r="I86" s="28" t="n">
        <v>3</v>
      </c>
      <c r="J86" s="28" t="inlineStr">
        <is>
          <t>3</t>
        </is>
      </c>
      <c r="K86" s="28" t="inlineStr">
        <is>
          <t>60% + 15 lb</t>
        </is>
      </c>
      <c r="L86" s="35">
        <f>ROUND('Setup &amp; Dashboard'!$C$9*0.6/5, 0)*5+15</f>
        <v/>
      </c>
      <c r="M86" s="32" t="inlineStr"/>
      <c r="N86" s="36" t="inlineStr">
        <is>
          <t>Reset every rep; lower to just below knee, return to lockout, then lower fully. W1 60% DL max; add +5 lb/week only if clean and ≤RPE 7. Deload: 2x3 @55% max.</t>
        </is>
      </c>
      <c r="O86" s="8" t="inlineStr"/>
      <c r="P86" s="13" t="inlineStr"/>
      <c r="Q86" s="14" t="inlineStr">
        <is>
          <t>[ ]</t>
        </is>
      </c>
    </row>
    <row r="87" ht="22" customHeight="1">
      <c r="A87" s="38" t="n">
        <v>4</v>
      </c>
      <c r="B87" s="42" t="inlineStr">
        <is>
          <t>Accumulation Peak</t>
        </is>
      </c>
      <c r="C87" s="39" t="n">
        <v>3</v>
      </c>
      <c r="D87" s="40" t="inlineStr">
        <is>
          <t>Thursday — Deadlift</t>
        </is>
      </c>
      <c r="E87" s="41" t="n">
        <v>3</v>
      </c>
      <c r="F87" s="40" t="inlineStr">
        <is>
          <t>Reverse hyper</t>
        </is>
      </c>
      <c r="G87" s="41" t="inlineStr">
        <is>
          <t>Accessory</t>
        </is>
      </c>
      <c r="H87" s="41" t="inlineStr">
        <is>
          <t>-</t>
        </is>
      </c>
      <c r="I87" s="39" t="n">
        <v>2</v>
      </c>
      <c r="J87" s="39" t="inlineStr">
        <is>
          <t>15</t>
        </is>
      </c>
      <c r="K87" s="39" t="inlineStr"/>
      <c r="L87" s="32" t="inlineStr"/>
      <c r="M87" s="41" t="inlineStr"/>
      <c r="N87" s="37" t="inlineStr"/>
      <c r="O87" s="8" t="inlineStr"/>
      <c r="P87" s="13" t="inlineStr"/>
      <c r="Q87" s="14" t="inlineStr">
        <is>
          <t>[ ]</t>
        </is>
      </c>
    </row>
    <row r="88" ht="22" customHeight="1">
      <c r="A88" s="28" t="n">
        <v>4</v>
      </c>
      <c r="B88" s="42" t="inlineStr">
        <is>
          <t>Accumulation Peak</t>
        </is>
      </c>
      <c r="C88" s="30" t="n">
        <v>3</v>
      </c>
      <c r="D88" s="31" t="inlineStr">
        <is>
          <t>Thursday — Deadlift</t>
        </is>
      </c>
      <c r="E88" s="32" t="n">
        <v>4</v>
      </c>
      <c r="F88" s="31" t="inlineStr">
        <is>
          <t>Jefferson curl</t>
        </is>
      </c>
      <c r="G88" s="32" t="inlineStr">
        <is>
          <t>Accessory</t>
        </is>
      </c>
      <c r="H88" s="32" t="inlineStr">
        <is>
          <t>-</t>
        </is>
      </c>
      <c r="I88" s="30" t="n">
        <v>2</v>
      </c>
      <c r="J88" s="30" t="inlineStr">
        <is>
          <t>8</t>
        </is>
      </c>
      <c r="K88" s="30" t="inlineStr"/>
      <c r="L88" s="32" t="inlineStr"/>
      <c r="M88" s="32" t="inlineStr"/>
      <c r="N88" s="37" t="inlineStr"/>
      <c r="O88" s="8" t="inlineStr"/>
      <c r="P88" s="13" t="inlineStr"/>
      <c r="Q88" s="14" t="inlineStr">
        <is>
          <t>[ ]</t>
        </is>
      </c>
    </row>
    <row r="89" ht="22" customHeight="1">
      <c r="A89" s="28" t="n">
        <v>4</v>
      </c>
      <c r="B89" s="42" t="inlineStr">
        <is>
          <t>Accumulation Peak</t>
        </is>
      </c>
      <c r="C89" s="30" t="n">
        <v>4</v>
      </c>
      <c r="D89" s="31" t="inlineStr">
        <is>
          <t>Friday — Bench variant / upper body</t>
        </is>
      </c>
      <c r="E89" s="32" t="n">
        <v>1</v>
      </c>
      <c r="F89" s="33" t="inlineStr">
        <is>
          <t>Tempo bench</t>
        </is>
      </c>
      <c r="G89" s="34" t="inlineStr">
        <is>
          <t>Main Lift</t>
        </is>
      </c>
      <c r="H89" s="32" t="inlineStr">
        <is>
          <t>BENCH</t>
        </is>
      </c>
      <c r="I89" s="28" t="n">
        <v>4</v>
      </c>
      <c r="J89" s="28" t="inlineStr">
        <is>
          <t>3</t>
        </is>
      </c>
      <c r="K89" s="28" t="inlineStr">
        <is>
          <t>65%</t>
        </is>
      </c>
      <c r="L89" s="35">
        <f>ROUND('Setup &amp; Dashboard'!$C$8*0.65/5, 0)*5</f>
        <v/>
      </c>
      <c r="M89" s="28" t="inlineStr">
        <is>
          <t>RPE 7</t>
        </is>
      </c>
      <c r="N89" s="37" t="inlineStr"/>
      <c r="O89" s="8" t="inlineStr"/>
      <c r="P89" s="13" t="inlineStr"/>
      <c r="Q89" s="14" t="inlineStr">
        <is>
          <t>[ ]</t>
        </is>
      </c>
    </row>
    <row r="90" ht="22" customHeight="1">
      <c r="A90" s="28" t="n">
        <v>4</v>
      </c>
      <c r="B90" s="42" t="inlineStr">
        <is>
          <t>Accumulation Peak</t>
        </is>
      </c>
      <c r="C90" s="30" t="n">
        <v>4</v>
      </c>
      <c r="D90" s="31" t="inlineStr">
        <is>
          <t>Friday — Bench variant / upper body</t>
        </is>
      </c>
      <c r="E90" s="32" t="n">
        <v>2</v>
      </c>
      <c r="F90" s="31" t="inlineStr">
        <is>
          <t>Lat pulldown</t>
        </is>
      </c>
      <c r="G90" s="32" t="inlineStr">
        <is>
          <t>Accessory</t>
        </is>
      </c>
      <c r="H90" s="32" t="inlineStr">
        <is>
          <t>-</t>
        </is>
      </c>
      <c r="I90" s="30" t="n">
        <v>3</v>
      </c>
      <c r="J90" s="30" t="inlineStr">
        <is>
          <t>10-12</t>
        </is>
      </c>
      <c r="K90" s="30" t="inlineStr"/>
      <c r="L90" s="32" t="inlineStr"/>
      <c r="M90" s="32" t="inlineStr"/>
      <c r="N90" s="37" t="inlineStr"/>
      <c r="O90" s="8" t="inlineStr"/>
      <c r="P90" s="13" t="inlineStr"/>
      <c r="Q90" s="14" t="inlineStr">
        <is>
          <t>[ ]</t>
        </is>
      </c>
    </row>
    <row r="91" ht="22" customHeight="1">
      <c r="A91" s="38" t="n">
        <v>4</v>
      </c>
      <c r="B91" s="42" t="inlineStr">
        <is>
          <t>Accumulation Peak</t>
        </is>
      </c>
      <c r="C91" s="39" t="n">
        <v>4</v>
      </c>
      <c r="D91" s="40" t="inlineStr">
        <is>
          <t>Friday — Bench variant / upper body</t>
        </is>
      </c>
      <c r="E91" s="41" t="n">
        <v>3</v>
      </c>
      <c r="F91" s="40" t="inlineStr">
        <is>
          <t>Lateral raise</t>
        </is>
      </c>
      <c r="G91" s="41" t="inlineStr">
        <is>
          <t>Accessory</t>
        </is>
      </c>
      <c r="H91" s="41" t="inlineStr">
        <is>
          <t>-</t>
        </is>
      </c>
      <c r="I91" s="39" t="n">
        <v>3</v>
      </c>
      <c r="J91" s="39" t="inlineStr">
        <is>
          <t>15</t>
        </is>
      </c>
      <c r="K91" s="39" t="inlineStr"/>
      <c r="L91" s="32" t="inlineStr"/>
      <c r="M91" s="41" t="inlineStr"/>
      <c r="N91" s="37" t="inlineStr"/>
      <c r="O91" s="8" t="inlineStr"/>
      <c r="P91" s="13" t="inlineStr"/>
      <c r="Q91" s="14" t="inlineStr">
        <is>
          <t>[ ]</t>
        </is>
      </c>
    </row>
    <row r="92" ht="22" customHeight="1">
      <c r="A92" s="28" t="n">
        <v>4</v>
      </c>
      <c r="B92" s="42" t="inlineStr">
        <is>
          <t>Accumulation Peak</t>
        </is>
      </c>
      <c r="C92" s="30" t="n">
        <v>4</v>
      </c>
      <c r="D92" s="31" t="inlineStr">
        <is>
          <t>Friday — Bench variant / upper body</t>
        </is>
      </c>
      <c r="E92" s="32" t="n">
        <v>4</v>
      </c>
      <c r="F92" s="31" t="inlineStr">
        <is>
          <t>Curl</t>
        </is>
      </c>
      <c r="G92" s="32" t="inlineStr">
        <is>
          <t>Accessory</t>
        </is>
      </c>
      <c r="H92" s="32" t="inlineStr">
        <is>
          <t>-</t>
        </is>
      </c>
      <c r="I92" s="30" t="n">
        <v>3</v>
      </c>
      <c r="J92" s="30" t="inlineStr">
        <is>
          <t>12</t>
        </is>
      </c>
      <c r="K92" s="30" t="inlineStr"/>
      <c r="L92" s="32" t="inlineStr"/>
      <c r="M92" s="32" t="inlineStr"/>
      <c r="N92" s="37" t="inlineStr"/>
      <c r="O92" s="8" t="inlineStr"/>
      <c r="P92" s="13" t="inlineStr"/>
      <c r="Q92" s="14" t="inlineStr">
        <is>
          <t>[ ]</t>
        </is>
      </c>
    </row>
    <row r="93" ht="22" customHeight="1">
      <c r="A93" s="38" t="n">
        <v>4</v>
      </c>
      <c r="B93" s="42" t="inlineStr">
        <is>
          <t>Accumulation Peak</t>
        </is>
      </c>
      <c r="C93" s="39" t="n">
        <v>4</v>
      </c>
      <c r="D93" s="40" t="inlineStr">
        <is>
          <t>Friday — Bench variant / upper body</t>
        </is>
      </c>
      <c r="E93" s="41" t="n">
        <v>5</v>
      </c>
      <c r="F93" s="40" t="inlineStr">
        <is>
          <t>Pallof press</t>
        </is>
      </c>
      <c r="G93" s="41" t="inlineStr">
        <is>
          <t>Accessory</t>
        </is>
      </c>
      <c r="H93" s="41" t="inlineStr">
        <is>
          <t>-</t>
        </is>
      </c>
      <c r="I93" s="39" t="n">
        <v>3</v>
      </c>
      <c r="J93" s="39" t="inlineStr">
        <is>
          <t>10/side</t>
        </is>
      </c>
      <c r="K93" s="39" t="inlineStr"/>
      <c r="L93" s="32" t="inlineStr"/>
      <c r="M93" s="41" t="inlineStr"/>
      <c r="N93" s="37" t="inlineStr"/>
      <c r="O93" s="8" t="inlineStr"/>
      <c r="P93" s="13" t="inlineStr"/>
      <c r="Q93" s="14" t="inlineStr">
        <is>
          <t>[ ]</t>
        </is>
      </c>
    </row>
    <row r="94" ht="22" customHeight="1">
      <c r="A94" s="28" t="n">
        <v>4</v>
      </c>
      <c r="B94" s="42" t="inlineStr">
        <is>
          <t>Accumulation Peak</t>
        </is>
      </c>
      <c r="C94" s="30" t="n">
        <v>5</v>
      </c>
      <c r="D94" s="31" t="inlineStr">
        <is>
          <t>Saturday — Squat variant + Bent-over row</t>
        </is>
      </c>
      <c r="E94" s="32" t="n">
        <v>1</v>
      </c>
      <c r="F94" s="33" t="inlineStr">
        <is>
          <t>Paused squat</t>
        </is>
      </c>
      <c r="G94" s="34" t="inlineStr">
        <is>
          <t>Main Lift</t>
        </is>
      </c>
      <c r="H94" s="32" t="inlineStr">
        <is>
          <t>SQUAT</t>
        </is>
      </c>
      <c r="I94" s="28" t="n">
        <v>3</v>
      </c>
      <c r="J94" s="28" t="inlineStr">
        <is>
          <t>3</t>
        </is>
      </c>
      <c r="K94" s="28" t="inlineStr">
        <is>
          <t>70% + 15 lb</t>
        </is>
      </c>
      <c r="L94" s="35">
        <f>ROUND('Setup &amp; Dashboard'!$C$7*0.7/5, 0)*5+15</f>
        <v/>
      </c>
      <c r="M94" s="28" t="inlineStr">
        <is>
          <t>RPE ≤8</t>
        </is>
      </c>
      <c r="N94" s="36" t="inlineStr">
        <is>
          <t>Clean reps; no grinding</t>
        </is>
      </c>
      <c r="O94" s="8" t="inlineStr"/>
      <c r="P94" s="13" t="inlineStr"/>
      <c r="Q94" s="14" t="inlineStr">
        <is>
          <t>[ ]</t>
        </is>
      </c>
    </row>
    <row r="95" ht="22" customHeight="1">
      <c r="A95" s="38" t="n">
        <v>4</v>
      </c>
      <c r="B95" s="42" t="inlineStr">
        <is>
          <t>Accumulation Peak</t>
        </is>
      </c>
      <c r="C95" s="39" t="n">
        <v>5</v>
      </c>
      <c r="D95" s="40" t="inlineStr">
        <is>
          <t>Saturday — Squat variant + Bent-over row</t>
        </is>
      </c>
      <c r="E95" s="41" t="n">
        <v>2</v>
      </c>
      <c r="F95" s="40" t="inlineStr">
        <is>
          <t>Bent-over row</t>
        </is>
      </c>
      <c r="G95" s="41" t="inlineStr">
        <is>
          <t>Accessory</t>
        </is>
      </c>
      <c r="H95" s="41" t="inlineStr">
        <is>
          <t>ROW</t>
        </is>
      </c>
      <c r="I95" s="39" t="n">
        <v>4</v>
      </c>
      <c r="J95" s="39" t="inlineStr">
        <is>
          <t>4-6</t>
        </is>
      </c>
      <c r="K95" s="39" t="inlineStr">
        <is>
          <t>Linear +5lb</t>
        </is>
      </c>
      <c r="L95" s="35">
        <f>'Setup &amp; Dashboard'!$C$10+(4-1)*5</f>
        <v/>
      </c>
      <c r="M95" s="41" t="inlineStr"/>
      <c r="N95" s="36" t="inlineStr">
        <is>
          <t>4 strict sets. Add 5 lb next exposure only when every set is clean and ≤RPE 8; deload load/reps, no failure.</t>
        </is>
      </c>
      <c r="O95" s="8" t="inlineStr"/>
      <c r="P95" s="13" t="inlineStr"/>
      <c r="Q95" s="14" t="inlineStr">
        <is>
          <t>[ ]</t>
        </is>
      </c>
    </row>
    <row r="96" ht="22" customHeight="1">
      <c r="A96" s="28" t="n">
        <v>4</v>
      </c>
      <c r="B96" s="42" t="inlineStr">
        <is>
          <t>Accumulation Peak</t>
        </is>
      </c>
      <c r="C96" s="30" t="n">
        <v>5</v>
      </c>
      <c r="D96" s="31" t="inlineStr">
        <is>
          <t>Saturday — Squat variant + Bent-over row</t>
        </is>
      </c>
      <c r="E96" s="32" t="n">
        <v>3</v>
      </c>
      <c r="F96" s="31" t="inlineStr">
        <is>
          <t>Reverse hyper</t>
        </is>
      </c>
      <c r="G96" s="32" t="inlineStr">
        <is>
          <t>Accessory</t>
        </is>
      </c>
      <c r="H96" s="32" t="inlineStr">
        <is>
          <t>-</t>
        </is>
      </c>
      <c r="I96" s="30" t="n">
        <v>2</v>
      </c>
      <c r="J96" s="30" t="inlineStr">
        <is>
          <t>12</t>
        </is>
      </c>
      <c r="K96" s="30" t="inlineStr"/>
      <c r="L96" s="32" t="inlineStr"/>
      <c r="M96" s="32" t="inlineStr"/>
      <c r="N96" s="37" t="inlineStr"/>
      <c r="O96" s="8" t="inlineStr"/>
      <c r="P96" s="13" t="inlineStr"/>
      <c r="Q96" s="14" t="inlineStr">
        <is>
          <t>[ ]</t>
        </is>
      </c>
    </row>
    <row r="97" ht="22" customHeight="1">
      <c r="A97" s="38" t="n">
        <v>4</v>
      </c>
      <c r="B97" s="42" t="inlineStr">
        <is>
          <t>Accumulation Peak</t>
        </is>
      </c>
      <c r="C97" s="39" t="n">
        <v>5</v>
      </c>
      <c r="D97" s="40" t="inlineStr">
        <is>
          <t>Saturday — Squat variant + Bent-over row</t>
        </is>
      </c>
      <c r="E97" s="41" t="n">
        <v>4</v>
      </c>
      <c r="F97" s="40" t="inlineStr">
        <is>
          <t>GHR or Nordic curl</t>
        </is>
      </c>
      <c r="G97" s="41" t="inlineStr">
        <is>
          <t>Accessory</t>
        </is>
      </c>
      <c r="H97" s="41" t="inlineStr">
        <is>
          <t>-</t>
        </is>
      </c>
      <c r="I97" s="39" t="n">
        <v>3</v>
      </c>
      <c r="J97" s="39" t="inlineStr">
        <is>
          <t>8</t>
        </is>
      </c>
      <c r="K97" s="39" t="inlineStr"/>
      <c r="L97" s="32" t="inlineStr"/>
      <c r="M97" s="41" t="inlineStr"/>
      <c r="N97" s="37" t="inlineStr"/>
      <c r="O97" s="8" t="inlineStr"/>
      <c r="P97" s="13" t="inlineStr"/>
      <c r="Q97" s="14" t="inlineStr">
        <is>
          <t>[ ]</t>
        </is>
      </c>
    </row>
    <row r="98" ht="22" customHeight="1">
      <c r="A98" s="28" t="n">
        <v>5</v>
      </c>
      <c r="B98" s="43" t="inlineStr">
        <is>
          <t>Deload</t>
        </is>
      </c>
      <c r="C98" s="30" t="n">
        <v>1</v>
      </c>
      <c r="D98" s="31" t="inlineStr">
        <is>
          <t>Monday — Squat</t>
        </is>
      </c>
      <c r="E98" s="32" t="n">
        <v>1</v>
      </c>
      <c r="F98" s="33" t="inlineStr">
        <is>
          <t>Squat — top single</t>
        </is>
      </c>
      <c r="G98" s="34" t="inlineStr">
        <is>
          <t>Main Lift</t>
        </is>
      </c>
      <c r="H98" s="32" t="inlineStr">
        <is>
          <t>SQUAT</t>
        </is>
      </c>
      <c r="I98" s="28" t="n">
        <v>1</v>
      </c>
      <c r="J98" s="28" t="inlineStr">
        <is>
          <t>1</t>
        </is>
      </c>
      <c r="K98" s="28" t="inlineStr">
        <is>
          <t>60%</t>
        </is>
      </c>
      <c r="L98" s="35">
        <f>ROUND('Setup &amp; Dashboard'!$C$7*0.6/5, 0)*5</f>
        <v/>
      </c>
      <c r="M98" s="28" t="inlineStr">
        <is>
          <t>RPE 7-8 cap</t>
        </is>
      </c>
      <c r="N98" s="36" t="inlineStr">
        <is>
          <t>Skip if slow or technically compromised</t>
        </is>
      </c>
      <c r="O98" s="8" t="inlineStr"/>
      <c r="P98" s="13" t="inlineStr"/>
      <c r="Q98" s="14" t="inlineStr">
        <is>
          <t>[ ]</t>
        </is>
      </c>
    </row>
    <row r="99" ht="22" customHeight="1">
      <c r="A99" s="28" t="n">
        <v>5</v>
      </c>
      <c r="B99" s="43" t="inlineStr">
        <is>
          <t>Deload</t>
        </is>
      </c>
      <c r="C99" s="30" t="n">
        <v>1</v>
      </c>
      <c r="D99" s="31" t="inlineStr">
        <is>
          <t>Monday — Squat</t>
        </is>
      </c>
      <c r="E99" s="32" t="n">
        <v>2</v>
      </c>
      <c r="F99" s="33" t="inlineStr">
        <is>
          <t>Squat — back-off</t>
        </is>
      </c>
      <c r="G99" s="34" t="inlineStr">
        <is>
          <t>Main Lift</t>
        </is>
      </c>
      <c r="H99" s="32" t="inlineStr">
        <is>
          <t>SQUAT</t>
        </is>
      </c>
      <c r="I99" s="28" t="n">
        <v>3</v>
      </c>
      <c r="J99" s="28" t="inlineStr">
        <is>
          <t>3</t>
        </is>
      </c>
      <c r="K99" s="28" t="inlineStr">
        <is>
          <t>60%</t>
        </is>
      </c>
      <c r="L99" s="35">
        <f>ROUND('Setup &amp; Dashboard'!$C$7*0.6/5, 0)*5</f>
        <v/>
      </c>
      <c r="M99" s="28" t="inlineStr">
        <is>
          <t>RPE 6</t>
        </is>
      </c>
      <c r="N99" s="37" t="inlineStr"/>
      <c r="O99" s="8" t="inlineStr"/>
      <c r="P99" s="13" t="inlineStr"/>
      <c r="Q99" s="14" t="inlineStr">
        <is>
          <t>[ ]</t>
        </is>
      </c>
    </row>
    <row r="100" ht="22" customHeight="1">
      <c r="A100" s="28" t="n">
        <v>5</v>
      </c>
      <c r="B100" s="43" t="inlineStr">
        <is>
          <t>Deload</t>
        </is>
      </c>
      <c r="C100" s="30" t="n">
        <v>1</v>
      </c>
      <c r="D100" s="31" t="inlineStr">
        <is>
          <t>Monday — Squat</t>
        </is>
      </c>
      <c r="E100" s="32" t="n">
        <v>3</v>
      </c>
      <c r="F100" s="31" t="inlineStr">
        <is>
          <t>Split squat</t>
        </is>
      </c>
      <c r="G100" s="32" t="inlineStr">
        <is>
          <t>Accessory</t>
        </is>
      </c>
      <c r="H100" s="32" t="inlineStr">
        <is>
          <t>-</t>
        </is>
      </c>
      <c r="I100" s="30" t="n">
        <v>2</v>
      </c>
      <c r="J100" s="30" t="inlineStr">
        <is>
          <t>8/leg</t>
        </is>
      </c>
      <c r="K100" s="30" t="inlineStr"/>
      <c r="L100" s="32" t="inlineStr"/>
      <c r="M100" s="32" t="inlineStr"/>
      <c r="N100" s="37" t="inlineStr"/>
      <c r="O100" s="8" t="inlineStr"/>
      <c r="P100" s="13" t="inlineStr"/>
      <c r="Q100" s="14" t="inlineStr">
        <is>
          <t>[ ]</t>
        </is>
      </c>
    </row>
    <row r="101" ht="22" customHeight="1">
      <c r="A101" s="38" t="n">
        <v>5</v>
      </c>
      <c r="B101" s="43" t="inlineStr">
        <is>
          <t>Deload</t>
        </is>
      </c>
      <c r="C101" s="39" t="n">
        <v>1</v>
      </c>
      <c r="D101" s="40" t="inlineStr">
        <is>
          <t>Monday — Squat</t>
        </is>
      </c>
      <c r="E101" s="41" t="n">
        <v>4</v>
      </c>
      <c r="F101" s="40" t="inlineStr">
        <is>
          <t>Leg curl</t>
        </is>
      </c>
      <c r="G101" s="41" t="inlineStr">
        <is>
          <t>Accessory</t>
        </is>
      </c>
      <c r="H101" s="41" t="inlineStr">
        <is>
          <t>-</t>
        </is>
      </c>
      <c r="I101" s="39" t="n">
        <v>2</v>
      </c>
      <c r="J101" s="39" t="inlineStr">
        <is>
          <t>10</t>
        </is>
      </c>
      <c r="K101" s="39" t="inlineStr"/>
      <c r="L101" s="32" t="inlineStr"/>
      <c r="M101" s="41" t="inlineStr"/>
      <c r="N101" s="37" t="inlineStr"/>
      <c r="O101" s="8" t="inlineStr"/>
      <c r="P101" s="13" t="inlineStr"/>
      <c r="Q101" s="14" t="inlineStr">
        <is>
          <t>[ ]</t>
        </is>
      </c>
    </row>
    <row r="102" ht="22" customHeight="1">
      <c r="A102" s="28" t="n">
        <v>5</v>
      </c>
      <c r="B102" s="43" t="inlineStr">
        <is>
          <t>Deload</t>
        </is>
      </c>
      <c r="C102" s="30" t="n">
        <v>1</v>
      </c>
      <c r="D102" s="31" t="inlineStr">
        <is>
          <t>Monday — Squat</t>
        </is>
      </c>
      <c r="E102" s="32" t="n">
        <v>5</v>
      </c>
      <c r="F102" s="31" t="inlineStr">
        <is>
          <t>Copenhagen plank</t>
        </is>
      </c>
      <c r="G102" s="32" t="inlineStr">
        <is>
          <t>Accessory</t>
        </is>
      </c>
      <c r="H102" s="32" t="inlineStr">
        <is>
          <t>-</t>
        </is>
      </c>
      <c r="I102" s="30" t="n">
        <v>2</v>
      </c>
      <c r="J102" s="30" t="inlineStr">
        <is>
          <t>15sec/side</t>
        </is>
      </c>
      <c r="K102" s="30" t="inlineStr"/>
      <c r="L102" s="32" t="inlineStr"/>
      <c r="M102" s="32" t="inlineStr"/>
      <c r="N102" s="37" t="inlineStr"/>
      <c r="O102" s="8" t="inlineStr"/>
      <c r="P102" s="13" t="inlineStr"/>
      <c r="Q102" s="14" t="inlineStr">
        <is>
          <t>[ ]</t>
        </is>
      </c>
    </row>
    <row r="103" ht="22" customHeight="1">
      <c r="A103" s="28" t="n">
        <v>5</v>
      </c>
      <c r="B103" s="43" t="inlineStr">
        <is>
          <t>Deload</t>
        </is>
      </c>
      <c r="C103" s="30" t="n">
        <v>2</v>
      </c>
      <c r="D103" s="31" t="inlineStr">
        <is>
          <t>Tuesday — Bench</t>
        </is>
      </c>
      <c r="E103" s="32" t="n">
        <v>1</v>
      </c>
      <c r="F103" s="33" t="inlineStr">
        <is>
          <t>Bench</t>
        </is>
      </c>
      <c r="G103" s="34" t="inlineStr">
        <is>
          <t>Main Lift</t>
        </is>
      </c>
      <c r="H103" s="32" t="inlineStr">
        <is>
          <t>BENCH</t>
        </is>
      </c>
      <c r="I103" s="28" t="n">
        <v>5</v>
      </c>
      <c r="J103" s="28" t="inlineStr">
        <is>
          <t>3</t>
        </is>
      </c>
      <c r="K103" s="28" t="inlineStr">
        <is>
          <t>60%</t>
        </is>
      </c>
      <c r="L103" s="35">
        <f>ROUND('Setup &amp; Dashboard'!$C$8*0.6/5, 0)*5</f>
        <v/>
      </c>
      <c r="M103" s="28" t="inlineStr">
        <is>
          <t>RPE 6</t>
        </is>
      </c>
      <c r="N103" s="37" t="inlineStr"/>
      <c r="O103" s="8" t="inlineStr"/>
      <c r="P103" s="13" t="inlineStr"/>
      <c r="Q103" s="14" t="inlineStr">
        <is>
          <t>[ ]</t>
        </is>
      </c>
    </row>
    <row r="104" ht="22" customHeight="1">
      <c r="A104" s="28" t="n">
        <v>5</v>
      </c>
      <c r="B104" s="43" t="inlineStr">
        <is>
          <t>Deload</t>
        </is>
      </c>
      <c r="C104" s="30" t="n">
        <v>2</v>
      </c>
      <c r="D104" s="31" t="inlineStr">
        <is>
          <t>Tuesday — Bench</t>
        </is>
      </c>
      <c r="E104" s="32" t="n">
        <v>2</v>
      </c>
      <c r="F104" s="31" t="inlineStr">
        <is>
          <t>Close-grip bench</t>
        </is>
      </c>
      <c r="G104" s="32" t="inlineStr">
        <is>
          <t>Accessory</t>
        </is>
      </c>
      <c r="H104" s="32" t="inlineStr">
        <is>
          <t>-</t>
        </is>
      </c>
      <c r="I104" s="30" t="n">
        <v>2</v>
      </c>
      <c r="J104" s="30" t="inlineStr">
        <is>
          <t>5</t>
        </is>
      </c>
      <c r="K104" s="30" t="inlineStr"/>
      <c r="L104" s="32" t="inlineStr"/>
      <c r="M104" s="32" t="inlineStr"/>
      <c r="N104" s="37" t="inlineStr"/>
      <c r="O104" s="8" t="inlineStr"/>
      <c r="P104" s="13" t="inlineStr"/>
      <c r="Q104" s="14" t="inlineStr">
        <is>
          <t>[ ]</t>
        </is>
      </c>
    </row>
    <row r="105" ht="22" customHeight="1">
      <c r="A105" s="38" t="n">
        <v>5</v>
      </c>
      <c r="B105" s="43" t="inlineStr">
        <is>
          <t>Deload</t>
        </is>
      </c>
      <c r="C105" s="39" t="n">
        <v>2</v>
      </c>
      <c r="D105" s="40" t="inlineStr">
        <is>
          <t>Tuesday — Bench</t>
        </is>
      </c>
      <c r="E105" s="41" t="n">
        <v>3</v>
      </c>
      <c r="F105" s="40" t="inlineStr">
        <is>
          <t>Incline DB press</t>
        </is>
      </c>
      <c r="G105" s="41" t="inlineStr">
        <is>
          <t>Accessory</t>
        </is>
      </c>
      <c r="H105" s="41" t="inlineStr">
        <is>
          <t>-</t>
        </is>
      </c>
      <c r="I105" s="39" t="n">
        <v>2</v>
      </c>
      <c r="J105" s="39" t="inlineStr">
        <is>
          <t>10</t>
        </is>
      </c>
      <c r="K105" s="39" t="inlineStr"/>
      <c r="L105" s="32" t="inlineStr"/>
      <c r="M105" s="41" t="inlineStr"/>
      <c r="N105" s="37" t="inlineStr"/>
      <c r="O105" s="8" t="inlineStr"/>
      <c r="P105" s="13" t="inlineStr"/>
      <c r="Q105" s="14" t="inlineStr">
        <is>
          <t>[ ]</t>
        </is>
      </c>
    </row>
    <row r="106" ht="22" customHeight="1">
      <c r="A106" s="28" t="n">
        <v>5</v>
      </c>
      <c r="B106" s="43" t="inlineStr">
        <is>
          <t>Deload</t>
        </is>
      </c>
      <c r="C106" s="30" t="n">
        <v>2</v>
      </c>
      <c r="D106" s="31" t="inlineStr">
        <is>
          <t>Tuesday — Bench</t>
        </is>
      </c>
      <c r="E106" s="32" t="n">
        <v>4</v>
      </c>
      <c r="F106" s="31" t="inlineStr">
        <is>
          <t>Face pull</t>
        </is>
      </c>
      <c r="G106" s="32" t="inlineStr">
        <is>
          <t>Accessory</t>
        </is>
      </c>
      <c r="H106" s="32" t="inlineStr">
        <is>
          <t>-</t>
        </is>
      </c>
      <c r="I106" s="30" t="n">
        <v>2</v>
      </c>
      <c r="J106" s="30" t="inlineStr">
        <is>
          <t>15</t>
        </is>
      </c>
      <c r="K106" s="30" t="inlineStr"/>
      <c r="L106" s="32" t="inlineStr"/>
      <c r="M106" s="32" t="inlineStr"/>
      <c r="N106" s="37" t="inlineStr"/>
      <c r="O106" s="8" t="inlineStr"/>
      <c r="P106" s="13" t="inlineStr"/>
      <c r="Q106" s="14" t="inlineStr">
        <is>
          <t>[ ]</t>
        </is>
      </c>
    </row>
    <row r="107" ht="22" customHeight="1">
      <c r="A107" s="38" t="n">
        <v>5</v>
      </c>
      <c r="B107" s="43" t="inlineStr">
        <is>
          <t>Deload</t>
        </is>
      </c>
      <c r="C107" s="39" t="n">
        <v>2</v>
      </c>
      <c r="D107" s="40" t="inlineStr">
        <is>
          <t>Tuesday — Bench</t>
        </is>
      </c>
      <c r="E107" s="41" t="n">
        <v>5</v>
      </c>
      <c r="F107" s="40" t="inlineStr">
        <is>
          <t>Pallof press</t>
        </is>
      </c>
      <c r="G107" s="41" t="inlineStr">
        <is>
          <t>Accessory</t>
        </is>
      </c>
      <c r="H107" s="41" t="inlineStr">
        <is>
          <t>-</t>
        </is>
      </c>
      <c r="I107" s="39" t="n">
        <v>2</v>
      </c>
      <c r="J107" s="39" t="inlineStr">
        <is>
          <t>8/side</t>
        </is>
      </c>
      <c r="K107" s="39" t="inlineStr"/>
      <c r="L107" s="32" t="inlineStr"/>
      <c r="M107" s="41" t="inlineStr"/>
      <c r="N107" s="37" t="inlineStr"/>
      <c r="O107" s="8" t="inlineStr"/>
      <c r="P107" s="13" t="inlineStr"/>
      <c r="Q107" s="14" t="inlineStr">
        <is>
          <t>[ ]</t>
        </is>
      </c>
    </row>
    <row r="108" ht="22" customHeight="1">
      <c r="A108" s="28" t="n">
        <v>5</v>
      </c>
      <c r="B108" s="43" t="inlineStr">
        <is>
          <t>Deload</t>
        </is>
      </c>
      <c r="C108" s="30" t="n">
        <v>3</v>
      </c>
      <c r="D108" s="31" t="inlineStr">
        <is>
          <t>Thursday — Deadlift</t>
        </is>
      </c>
      <c r="E108" s="32" t="n">
        <v>1</v>
      </c>
      <c r="F108" s="33" t="inlineStr">
        <is>
          <t>Deadlift</t>
        </is>
      </c>
      <c r="G108" s="34" t="inlineStr">
        <is>
          <t>Main Lift</t>
        </is>
      </c>
      <c r="H108" s="32" t="inlineStr">
        <is>
          <t>DEADLIFT</t>
        </is>
      </c>
      <c r="I108" s="28" t="n">
        <v>2</v>
      </c>
      <c r="J108" s="28" t="inlineStr">
        <is>
          <t>3</t>
        </is>
      </c>
      <c r="K108" s="28" t="inlineStr">
        <is>
          <t>55%</t>
        </is>
      </c>
      <c r="L108" s="35">
        <f>ROUND('Setup &amp; Dashboard'!$C$9*0.55/5, 0)*5</f>
        <v/>
      </c>
      <c r="M108" s="28" t="inlineStr">
        <is>
          <t>RPE 6</t>
        </is>
      </c>
      <c r="N108" s="37" t="inlineStr"/>
      <c r="O108" s="8" t="inlineStr"/>
      <c r="P108" s="13" t="inlineStr"/>
      <c r="Q108" s="14" t="inlineStr">
        <is>
          <t>[ ]</t>
        </is>
      </c>
    </row>
    <row r="109" ht="22" customHeight="1">
      <c r="A109" s="28" t="n">
        <v>5</v>
      </c>
      <c r="B109" s="43" t="inlineStr">
        <is>
          <t>Deload</t>
        </is>
      </c>
      <c r="C109" s="30" t="n">
        <v>3</v>
      </c>
      <c r="D109" s="31" t="inlineStr">
        <is>
          <t>Thursday — Deadlift</t>
        </is>
      </c>
      <c r="E109" s="32" t="n">
        <v>2</v>
      </c>
      <c r="F109" s="33" t="inlineStr">
        <is>
          <t>1.5-rep deadlift (knee height)</t>
        </is>
      </c>
      <c r="G109" s="34" t="inlineStr">
        <is>
          <t>Main Lift</t>
        </is>
      </c>
      <c r="H109" s="32" t="inlineStr">
        <is>
          <t>DEADLIFT</t>
        </is>
      </c>
      <c r="I109" s="28" t="n">
        <v>2</v>
      </c>
      <c r="J109" s="28" t="inlineStr">
        <is>
          <t>3</t>
        </is>
      </c>
      <c r="K109" s="28" t="inlineStr">
        <is>
          <t>55%</t>
        </is>
      </c>
      <c r="L109" s="35">
        <f>ROUND('Setup &amp; Dashboard'!$C$9*0.55/5, 0)*5</f>
        <v/>
      </c>
      <c r="M109" s="32" t="inlineStr"/>
      <c r="N109" s="36" t="inlineStr">
        <is>
          <t>Reset every rep; lower to just below knee, return to lockout, then lower fully. W1 60% DL max; add +5 lb/week only if clean and ≤RPE 7. Deload: 2x3 @55% max.</t>
        </is>
      </c>
      <c r="O109" s="8" t="inlineStr"/>
      <c r="P109" s="13" t="inlineStr"/>
      <c r="Q109" s="14" t="inlineStr">
        <is>
          <t>[ ]</t>
        </is>
      </c>
    </row>
    <row r="110" ht="22" customHeight="1">
      <c r="A110" s="28" t="n">
        <v>5</v>
      </c>
      <c r="B110" s="43" t="inlineStr">
        <is>
          <t>Deload</t>
        </is>
      </c>
      <c r="C110" s="30" t="n">
        <v>3</v>
      </c>
      <c r="D110" s="31" t="inlineStr">
        <is>
          <t>Thursday — Deadlift</t>
        </is>
      </c>
      <c r="E110" s="32" t="n">
        <v>3</v>
      </c>
      <c r="F110" s="31" t="inlineStr">
        <is>
          <t>Reverse hyper</t>
        </is>
      </c>
      <c r="G110" s="32" t="inlineStr">
        <is>
          <t>Accessory</t>
        </is>
      </c>
      <c r="H110" s="32" t="inlineStr">
        <is>
          <t>-</t>
        </is>
      </c>
      <c r="I110" s="30" t="n">
        <v>2</v>
      </c>
      <c r="J110" s="30" t="inlineStr">
        <is>
          <t>12</t>
        </is>
      </c>
      <c r="K110" s="30" t="inlineStr"/>
      <c r="L110" s="32" t="inlineStr"/>
      <c r="M110" s="32" t="inlineStr"/>
      <c r="N110" s="37" t="inlineStr"/>
      <c r="O110" s="8" t="inlineStr"/>
      <c r="P110" s="13" t="inlineStr"/>
      <c r="Q110" s="14" t="inlineStr">
        <is>
          <t>[ ]</t>
        </is>
      </c>
    </row>
    <row r="111" ht="22" customHeight="1">
      <c r="A111" s="38" t="n">
        <v>5</v>
      </c>
      <c r="B111" s="43" t="inlineStr">
        <is>
          <t>Deload</t>
        </is>
      </c>
      <c r="C111" s="39" t="n">
        <v>3</v>
      </c>
      <c r="D111" s="40" t="inlineStr">
        <is>
          <t>Thursday — Deadlift</t>
        </is>
      </c>
      <c r="E111" s="41" t="n">
        <v>4</v>
      </c>
      <c r="F111" s="40" t="inlineStr">
        <is>
          <t>Jefferson curl</t>
        </is>
      </c>
      <c r="G111" s="41" t="inlineStr">
        <is>
          <t>Accessory</t>
        </is>
      </c>
      <c r="H111" s="41" t="inlineStr">
        <is>
          <t>-</t>
        </is>
      </c>
      <c r="I111" s="39" t="n">
        <v>1</v>
      </c>
      <c r="J111" s="39" t="inlineStr">
        <is>
          <t>6</t>
        </is>
      </c>
      <c r="K111" s="39" t="inlineStr"/>
      <c r="L111" s="32" t="inlineStr"/>
      <c r="M111" s="41" t="inlineStr"/>
      <c r="N111" s="37" t="inlineStr"/>
      <c r="O111" s="8" t="inlineStr"/>
      <c r="P111" s="13" t="inlineStr"/>
      <c r="Q111" s="14" t="inlineStr">
        <is>
          <t>[ ]</t>
        </is>
      </c>
    </row>
    <row r="112" ht="22" customHeight="1">
      <c r="A112" s="28" t="n">
        <v>5</v>
      </c>
      <c r="B112" s="43" t="inlineStr">
        <is>
          <t>Deload</t>
        </is>
      </c>
      <c r="C112" s="30" t="n">
        <v>4</v>
      </c>
      <c r="D112" s="31" t="inlineStr">
        <is>
          <t>Friday — Bench variant / upper body</t>
        </is>
      </c>
      <c r="E112" s="32" t="n">
        <v>1</v>
      </c>
      <c r="F112" s="33" t="inlineStr">
        <is>
          <t>Light paused bench</t>
        </is>
      </c>
      <c r="G112" s="34" t="inlineStr">
        <is>
          <t>Main Lift</t>
        </is>
      </c>
      <c r="H112" s="32" t="inlineStr">
        <is>
          <t>BENCH</t>
        </is>
      </c>
      <c r="I112" s="28" t="n">
        <v>3</v>
      </c>
      <c r="J112" s="28" t="inlineStr">
        <is>
          <t>3</t>
        </is>
      </c>
      <c r="K112" s="28" t="inlineStr">
        <is>
          <t>55%</t>
        </is>
      </c>
      <c r="L112" s="35">
        <f>ROUND('Setup &amp; Dashboard'!$C$8*0.55/5, 0)*5</f>
        <v/>
      </c>
      <c r="M112" s="28" t="inlineStr">
        <is>
          <t>RPE 6</t>
        </is>
      </c>
      <c r="N112" s="37" t="inlineStr"/>
      <c r="O112" s="8" t="inlineStr"/>
      <c r="P112" s="13" t="inlineStr"/>
      <c r="Q112" s="14" t="inlineStr">
        <is>
          <t>[ ]</t>
        </is>
      </c>
    </row>
    <row r="113" ht="22" customHeight="1">
      <c r="A113" s="38" t="n">
        <v>5</v>
      </c>
      <c r="B113" s="43" t="inlineStr">
        <is>
          <t>Deload</t>
        </is>
      </c>
      <c r="C113" s="39" t="n">
        <v>4</v>
      </c>
      <c r="D113" s="40" t="inlineStr">
        <is>
          <t>Friday — Bench variant / upper body</t>
        </is>
      </c>
      <c r="E113" s="41" t="n">
        <v>2</v>
      </c>
      <c r="F113" s="40" t="inlineStr">
        <is>
          <t>Lat pulldown</t>
        </is>
      </c>
      <c r="G113" s="41" t="inlineStr">
        <is>
          <t>Accessory</t>
        </is>
      </c>
      <c r="H113" s="41" t="inlineStr">
        <is>
          <t>-</t>
        </is>
      </c>
      <c r="I113" s="39" t="n">
        <v>2</v>
      </c>
      <c r="J113" s="39" t="inlineStr">
        <is>
          <t>10</t>
        </is>
      </c>
      <c r="K113" s="39" t="inlineStr"/>
      <c r="L113" s="32" t="inlineStr"/>
      <c r="M113" s="41" t="inlineStr"/>
      <c r="N113" s="37" t="inlineStr"/>
      <c r="O113" s="8" t="inlineStr"/>
      <c r="P113" s="13" t="inlineStr"/>
      <c r="Q113" s="14" t="inlineStr">
        <is>
          <t>[ ]</t>
        </is>
      </c>
    </row>
    <row r="114" ht="22" customHeight="1">
      <c r="A114" s="28" t="n">
        <v>5</v>
      </c>
      <c r="B114" s="43" t="inlineStr">
        <is>
          <t>Deload</t>
        </is>
      </c>
      <c r="C114" s="30" t="n">
        <v>4</v>
      </c>
      <c r="D114" s="31" t="inlineStr">
        <is>
          <t>Friday — Bench variant / upper body</t>
        </is>
      </c>
      <c r="E114" s="32" t="n">
        <v>3</v>
      </c>
      <c r="F114" s="31" t="inlineStr">
        <is>
          <t>Lateral raise</t>
        </is>
      </c>
      <c r="G114" s="32" t="inlineStr">
        <is>
          <t>Accessory</t>
        </is>
      </c>
      <c r="H114" s="32" t="inlineStr">
        <is>
          <t>-</t>
        </is>
      </c>
      <c r="I114" s="30" t="n">
        <v>2</v>
      </c>
      <c r="J114" s="30" t="inlineStr">
        <is>
          <t>15</t>
        </is>
      </c>
      <c r="K114" s="30" t="inlineStr"/>
      <c r="L114" s="32" t="inlineStr"/>
      <c r="M114" s="32" t="inlineStr"/>
      <c r="N114" s="37" t="inlineStr"/>
      <c r="O114" s="8" t="inlineStr"/>
      <c r="P114" s="13" t="inlineStr"/>
      <c r="Q114" s="14" t="inlineStr">
        <is>
          <t>[ ]</t>
        </is>
      </c>
    </row>
    <row r="115" ht="22" customHeight="1">
      <c r="A115" s="38" t="n">
        <v>5</v>
      </c>
      <c r="B115" s="43" t="inlineStr">
        <is>
          <t>Deload</t>
        </is>
      </c>
      <c r="C115" s="39" t="n">
        <v>4</v>
      </c>
      <c r="D115" s="40" t="inlineStr">
        <is>
          <t>Friday — Bench variant / upper body</t>
        </is>
      </c>
      <c r="E115" s="41" t="n">
        <v>4</v>
      </c>
      <c r="F115" s="40" t="inlineStr">
        <is>
          <t>Curl</t>
        </is>
      </c>
      <c r="G115" s="41" t="inlineStr">
        <is>
          <t>Accessory</t>
        </is>
      </c>
      <c r="H115" s="41" t="inlineStr">
        <is>
          <t>-</t>
        </is>
      </c>
      <c r="I115" s="39" t="n">
        <v>2</v>
      </c>
      <c r="J115" s="39" t="inlineStr">
        <is>
          <t>10</t>
        </is>
      </c>
      <c r="K115" s="39" t="inlineStr"/>
      <c r="L115" s="32" t="inlineStr"/>
      <c r="M115" s="41" t="inlineStr"/>
      <c r="N115" s="37" t="inlineStr"/>
      <c r="O115" s="8" t="inlineStr"/>
      <c r="P115" s="13" t="inlineStr"/>
      <c r="Q115" s="14" t="inlineStr">
        <is>
          <t>[ ]</t>
        </is>
      </c>
    </row>
    <row r="116" ht="22" customHeight="1">
      <c r="A116" s="28" t="n">
        <v>5</v>
      </c>
      <c r="B116" s="43" t="inlineStr">
        <is>
          <t>Deload</t>
        </is>
      </c>
      <c r="C116" s="30" t="n">
        <v>5</v>
      </c>
      <c r="D116" s="31" t="inlineStr">
        <is>
          <t>Saturday — Squat variant + Bent-over row</t>
        </is>
      </c>
      <c r="E116" s="32" t="n">
        <v>1</v>
      </c>
      <c r="F116" s="33" t="inlineStr">
        <is>
          <t>Paused squat</t>
        </is>
      </c>
      <c r="G116" s="34" t="inlineStr">
        <is>
          <t>Main Lift</t>
        </is>
      </c>
      <c r="H116" s="32" t="inlineStr">
        <is>
          <t>SQUAT</t>
        </is>
      </c>
      <c r="I116" s="28" t="n">
        <v>2</v>
      </c>
      <c r="J116" s="28" t="inlineStr">
        <is>
          <t>3</t>
        </is>
      </c>
      <c r="K116" s="28" t="inlineStr">
        <is>
          <t>55%</t>
        </is>
      </c>
      <c r="L116" s="35">
        <f>ROUND('Setup &amp; Dashboard'!$C$7*0.55/5, 0)*5</f>
        <v/>
      </c>
      <c r="M116" s="32" t="inlineStr"/>
      <c r="N116" s="36" t="inlineStr">
        <is>
          <t>Easy deload; reduce fatigue</t>
        </is>
      </c>
      <c r="O116" s="8" t="inlineStr"/>
      <c r="P116" s="13" t="inlineStr"/>
      <c r="Q116" s="14" t="inlineStr">
        <is>
          <t>[ ]</t>
        </is>
      </c>
    </row>
    <row r="117" ht="22" customHeight="1">
      <c r="A117" s="38" t="n">
        <v>5</v>
      </c>
      <c r="B117" s="43" t="inlineStr">
        <is>
          <t>Deload</t>
        </is>
      </c>
      <c r="C117" s="39" t="n">
        <v>5</v>
      </c>
      <c r="D117" s="40" t="inlineStr">
        <is>
          <t>Saturday — Squat variant + Bent-over row</t>
        </is>
      </c>
      <c r="E117" s="41" t="n">
        <v>2</v>
      </c>
      <c r="F117" s="40" t="inlineStr">
        <is>
          <t>Bent-over row</t>
        </is>
      </c>
      <c r="G117" s="41" t="inlineStr">
        <is>
          <t>Accessory</t>
        </is>
      </c>
      <c r="H117" s="41" t="inlineStr">
        <is>
          <t>ROW</t>
        </is>
      </c>
      <c r="I117" s="39" t="n">
        <v>4</v>
      </c>
      <c r="J117" s="39" t="inlineStr">
        <is>
          <t>4-6</t>
        </is>
      </c>
      <c r="K117" s="39" t="inlineStr">
        <is>
          <t>Linear +5lb</t>
        </is>
      </c>
      <c r="L117" s="35">
        <f>'Setup &amp; Dashboard'!$C$10+(5-1)*5</f>
        <v/>
      </c>
      <c r="M117" s="41" t="inlineStr"/>
      <c r="N117" s="36" t="inlineStr">
        <is>
          <t>4 strict sets. Add 5 lb next exposure only when every set is clean and ≤RPE 8; deload load/reps, no failure.</t>
        </is>
      </c>
      <c r="O117" s="8" t="inlineStr"/>
      <c r="P117" s="13" t="inlineStr"/>
      <c r="Q117" s="14" t="inlineStr">
        <is>
          <t>[ ]</t>
        </is>
      </c>
    </row>
    <row r="118" ht="22" customHeight="1">
      <c r="A118" s="28" t="n">
        <v>5</v>
      </c>
      <c r="B118" s="43" t="inlineStr">
        <is>
          <t>Deload</t>
        </is>
      </c>
      <c r="C118" s="30" t="n">
        <v>5</v>
      </c>
      <c r="D118" s="31" t="inlineStr">
        <is>
          <t>Saturday — Squat variant + Bent-over row</t>
        </is>
      </c>
      <c r="E118" s="32" t="n">
        <v>3</v>
      </c>
      <c r="F118" s="31" t="inlineStr">
        <is>
          <t>Reverse hyper</t>
        </is>
      </c>
      <c r="G118" s="32" t="inlineStr">
        <is>
          <t>Accessory</t>
        </is>
      </c>
      <c r="H118" s="32" t="inlineStr">
        <is>
          <t>-</t>
        </is>
      </c>
      <c r="I118" s="30" t="n">
        <v>1</v>
      </c>
      <c r="J118" s="30" t="inlineStr">
        <is>
          <t>12</t>
        </is>
      </c>
      <c r="K118" s="30" t="inlineStr"/>
      <c r="L118" s="32" t="inlineStr"/>
      <c r="M118" s="32" t="inlineStr"/>
      <c r="N118" s="37" t="inlineStr"/>
      <c r="O118" s="8" t="inlineStr"/>
      <c r="P118" s="13" t="inlineStr"/>
      <c r="Q118" s="14" t="inlineStr">
        <is>
          <t>[ ]</t>
        </is>
      </c>
    </row>
    <row r="119" ht="22" customHeight="1">
      <c r="A119" s="28" t="n">
        <v>6</v>
      </c>
      <c r="B119" s="34" t="inlineStr">
        <is>
          <t>Intensification</t>
        </is>
      </c>
      <c r="C119" s="30" t="n">
        <v>1</v>
      </c>
      <c r="D119" s="31" t="inlineStr">
        <is>
          <t>Monday — Squat</t>
        </is>
      </c>
      <c r="E119" s="32" t="n">
        <v>1</v>
      </c>
      <c r="F119" s="33" t="inlineStr">
        <is>
          <t>Squat — top single</t>
        </is>
      </c>
      <c r="G119" s="34" t="inlineStr">
        <is>
          <t>Main Lift</t>
        </is>
      </c>
      <c r="H119" s="32" t="inlineStr">
        <is>
          <t>SQUAT</t>
        </is>
      </c>
      <c r="I119" s="28" t="n">
        <v>1</v>
      </c>
      <c r="J119" s="28" t="inlineStr">
        <is>
          <t>1</t>
        </is>
      </c>
      <c r="K119" s="28" t="inlineStr">
        <is>
          <t>90%</t>
        </is>
      </c>
      <c r="L119" s="35">
        <f>ROUND('Setup &amp; Dashboard'!$C$7*0.9/5, 0)*5</f>
        <v/>
      </c>
      <c r="M119" s="28" t="inlineStr">
        <is>
          <t>RPE 8 cap</t>
        </is>
      </c>
      <c r="N119" s="36" t="inlineStr">
        <is>
          <t>Smooth single, no grind</t>
        </is>
      </c>
      <c r="O119" s="8" t="inlineStr"/>
      <c r="P119" s="13" t="inlineStr"/>
      <c r="Q119" s="14" t="inlineStr">
        <is>
          <t>[ ]</t>
        </is>
      </c>
    </row>
    <row r="120" ht="22" customHeight="1">
      <c r="A120" s="28" t="n">
        <v>6</v>
      </c>
      <c r="B120" s="34" t="inlineStr">
        <is>
          <t>Intensification</t>
        </is>
      </c>
      <c r="C120" s="30" t="n">
        <v>1</v>
      </c>
      <c r="D120" s="31" t="inlineStr">
        <is>
          <t>Monday — Squat</t>
        </is>
      </c>
      <c r="E120" s="32" t="n">
        <v>2</v>
      </c>
      <c r="F120" s="33" t="inlineStr">
        <is>
          <t>Squat — back-off</t>
        </is>
      </c>
      <c r="G120" s="34" t="inlineStr">
        <is>
          <t>Main Lift</t>
        </is>
      </c>
      <c r="H120" s="32" t="inlineStr">
        <is>
          <t>SQUAT</t>
        </is>
      </c>
      <c r="I120" s="28" t="n">
        <v>5</v>
      </c>
      <c r="J120" s="28" t="inlineStr">
        <is>
          <t>3</t>
        </is>
      </c>
      <c r="K120" s="28" t="inlineStr">
        <is>
          <t>83%</t>
        </is>
      </c>
      <c r="L120" s="35">
        <f>ROUND('Setup &amp; Dashboard'!$C$7*0.83/5, 0)*5</f>
        <v/>
      </c>
      <c r="M120" s="28" t="inlineStr">
        <is>
          <t>RPE 8</t>
        </is>
      </c>
      <c r="N120" s="37" t="inlineStr"/>
      <c r="O120" s="8" t="inlineStr"/>
      <c r="P120" s="13" t="inlineStr"/>
      <c r="Q120" s="14" t="inlineStr">
        <is>
          <t>[ ]</t>
        </is>
      </c>
    </row>
    <row r="121" ht="22" customHeight="1">
      <c r="A121" s="38" t="n">
        <v>6</v>
      </c>
      <c r="B121" s="34" t="inlineStr">
        <is>
          <t>Intensification</t>
        </is>
      </c>
      <c r="C121" s="39" t="n">
        <v>1</v>
      </c>
      <c r="D121" s="40" t="inlineStr">
        <is>
          <t>Monday — Squat</t>
        </is>
      </c>
      <c r="E121" s="41" t="n">
        <v>3</v>
      </c>
      <c r="F121" s="40" t="inlineStr">
        <is>
          <t>Bulgarian split squat</t>
        </is>
      </c>
      <c r="G121" s="41" t="inlineStr">
        <is>
          <t>Accessory</t>
        </is>
      </c>
      <c r="H121" s="41" t="inlineStr">
        <is>
          <t>-</t>
        </is>
      </c>
      <c r="I121" s="39" t="n">
        <v>3</v>
      </c>
      <c r="J121" s="39" t="inlineStr">
        <is>
          <t>8</t>
        </is>
      </c>
      <c r="K121" s="39" t="inlineStr"/>
      <c r="L121" s="32" t="inlineStr"/>
      <c r="M121" s="41" t="inlineStr"/>
      <c r="N121" s="37" t="inlineStr"/>
      <c r="O121" s="8" t="inlineStr"/>
      <c r="P121" s="13" t="inlineStr"/>
      <c r="Q121" s="14" t="inlineStr">
        <is>
          <t>[ ]</t>
        </is>
      </c>
    </row>
    <row r="122" ht="22" customHeight="1">
      <c r="A122" s="28" t="n">
        <v>6</v>
      </c>
      <c r="B122" s="34" t="inlineStr">
        <is>
          <t>Intensification</t>
        </is>
      </c>
      <c r="C122" s="30" t="n">
        <v>1</v>
      </c>
      <c r="D122" s="31" t="inlineStr">
        <is>
          <t>Monday — Squat</t>
        </is>
      </c>
      <c r="E122" s="32" t="n">
        <v>4</v>
      </c>
      <c r="F122" s="31" t="inlineStr">
        <is>
          <t>Leg curl</t>
        </is>
      </c>
      <c r="G122" s="32" t="inlineStr">
        <is>
          <t>Accessory</t>
        </is>
      </c>
      <c r="H122" s="32" t="inlineStr">
        <is>
          <t>-</t>
        </is>
      </c>
      <c r="I122" s="30" t="n">
        <v>3</v>
      </c>
      <c r="J122" s="30" t="inlineStr">
        <is>
          <t>10</t>
        </is>
      </c>
      <c r="K122" s="30" t="inlineStr"/>
      <c r="L122" s="32" t="inlineStr"/>
      <c r="M122" s="32" t="inlineStr"/>
      <c r="N122" s="37" t="inlineStr"/>
      <c r="O122" s="8" t="inlineStr"/>
      <c r="P122" s="13" t="inlineStr"/>
      <c r="Q122" s="14" t="inlineStr">
        <is>
          <t>[ ]</t>
        </is>
      </c>
    </row>
    <row r="123" ht="22" customHeight="1">
      <c r="A123" s="38" t="n">
        <v>6</v>
      </c>
      <c r="B123" s="34" t="inlineStr">
        <is>
          <t>Intensification</t>
        </is>
      </c>
      <c r="C123" s="39" t="n">
        <v>1</v>
      </c>
      <c r="D123" s="40" t="inlineStr">
        <is>
          <t>Monday — Squat</t>
        </is>
      </c>
      <c r="E123" s="41" t="n">
        <v>5</v>
      </c>
      <c r="F123" s="40" t="inlineStr">
        <is>
          <t>Copenhagen plank</t>
        </is>
      </c>
      <c r="G123" s="41" t="inlineStr">
        <is>
          <t>Accessory</t>
        </is>
      </c>
      <c r="H123" s="41" t="inlineStr">
        <is>
          <t>-</t>
        </is>
      </c>
      <c r="I123" s="39" t="n">
        <v>3</v>
      </c>
      <c r="J123" s="39" t="inlineStr">
        <is>
          <t>20sec/side</t>
        </is>
      </c>
      <c r="K123" s="39" t="inlineStr"/>
      <c r="L123" s="32" t="inlineStr"/>
      <c r="M123" s="41" t="inlineStr"/>
      <c r="N123" s="37" t="inlineStr"/>
      <c r="O123" s="8" t="inlineStr"/>
      <c r="P123" s="13" t="inlineStr"/>
      <c r="Q123" s="14" t="inlineStr">
        <is>
          <t>[ ]</t>
        </is>
      </c>
    </row>
    <row r="124" ht="22" customHeight="1">
      <c r="A124" s="28" t="n">
        <v>6</v>
      </c>
      <c r="B124" s="34" t="inlineStr">
        <is>
          <t>Intensification</t>
        </is>
      </c>
      <c r="C124" s="30" t="n">
        <v>2</v>
      </c>
      <c r="D124" s="31" t="inlineStr">
        <is>
          <t>Tuesday — Bench</t>
        </is>
      </c>
      <c r="E124" s="32" t="n">
        <v>1</v>
      </c>
      <c r="F124" s="33" t="inlineStr">
        <is>
          <t>Bench</t>
        </is>
      </c>
      <c r="G124" s="34" t="inlineStr">
        <is>
          <t>Main Lift</t>
        </is>
      </c>
      <c r="H124" s="32" t="inlineStr">
        <is>
          <t>BENCH</t>
        </is>
      </c>
      <c r="I124" s="28" t="n">
        <v>7</v>
      </c>
      <c r="J124" s="28" t="inlineStr">
        <is>
          <t>3</t>
        </is>
      </c>
      <c r="K124" s="28" t="inlineStr">
        <is>
          <t>83%</t>
        </is>
      </c>
      <c r="L124" s="35">
        <f>ROUND('Setup &amp; Dashboard'!$C$8*0.83/5, 0)*5</f>
        <v/>
      </c>
      <c r="M124" s="28" t="inlineStr">
        <is>
          <t>RPE 8</t>
        </is>
      </c>
      <c r="N124" s="37" t="inlineStr"/>
      <c r="O124" s="8" t="inlineStr"/>
      <c r="P124" s="13" t="inlineStr"/>
      <c r="Q124" s="14" t="inlineStr">
        <is>
          <t>[ ]</t>
        </is>
      </c>
    </row>
    <row r="125" ht="22" customHeight="1">
      <c r="A125" s="38" t="n">
        <v>6</v>
      </c>
      <c r="B125" s="34" t="inlineStr">
        <is>
          <t>Intensification</t>
        </is>
      </c>
      <c r="C125" s="39" t="n">
        <v>2</v>
      </c>
      <c r="D125" s="40" t="inlineStr">
        <is>
          <t>Tuesday — Bench</t>
        </is>
      </c>
      <c r="E125" s="41" t="n">
        <v>2</v>
      </c>
      <c r="F125" s="40" t="inlineStr">
        <is>
          <t>Close-grip bench</t>
        </is>
      </c>
      <c r="G125" s="41" t="inlineStr">
        <is>
          <t>Accessory</t>
        </is>
      </c>
      <c r="H125" s="41" t="inlineStr">
        <is>
          <t>-</t>
        </is>
      </c>
      <c r="I125" s="39" t="n">
        <v>3</v>
      </c>
      <c r="J125" s="39" t="inlineStr">
        <is>
          <t>5</t>
        </is>
      </c>
      <c r="K125" s="39" t="inlineStr"/>
      <c r="L125" s="32" t="inlineStr"/>
      <c r="M125" s="41" t="inlineStr"/>
      <c r="N125" s="37" t="inlineStr"/>
      <c r="O125" s="8" t="inlineStr"/>
      <c r="P125" s="13" t="inlineStr"/>
      <c r="Q125" s="14" t="inlineStr">
        <is>
          <t>[ ]</t>
        </is>
      </c>
    </row>
    <row r="126" ht="22" customHeight="1">
      <c r="A126" s="28" t="n">
        <v>6</v>
      </c>
      <c r="B126" s="34" t="inlineStr">
        <is>
          <t>Intensification</t>
        </is>
      </c>
      <c r="C126" s="30" t="n">
        <v>2</v>
      </c>
      <c r="D126" s="31" t="inlineStr">
        <is>
          <t>Tuesday — Bench</t>
        </is>
      </c>
      <c r="E126" s="32" t="n">
        <v>3</v>
      </c>
      <c r="F126" s="31" t="inlineStr">
        <is>
          <t>Incline DB press</t>
        </is>
      </c>
      <c r="G126" s="32" t="inlineStr">
        <is>
          <t>Accessory</t>
        </is>
      </c>
      <c r="H126" s="32" t="inlineStr">
        <is>
          <t>-</t>
        </is>
      </c>
      <c r="I126" s="30" t="n">
        <v>3</v>
      </c>
      <c r="J126" s="30" t="inlineStr">
        <is>
          <t>8-10</t>
        </is>
      </c>
      <c r="K126" s="30" t="inlineStr"/>
      <c r="L126" s="32" t="inlineStr"/>
      <c r="M126" s="32" t="inlineStr"/>
      <c r="N126" s="37" t="inlineStr"/>
      <c r="O126" s="8" t="inlineStr"/>
      <c r="P126" s="13" t="inlineStr"/>
      <c r="Q126" s="14" t="inlineStr">
        <is>
          <t>[ ]</t>
        </is>
      </c>
    </row>
    <row r="127" ht="22" customHeight="1">
      <c r="A127" s="38" t="n">
        <v>6</v>
      </c>
      <c r="B127" s="34" t="inlineStr">
        <is>
          <t>Intensification</t>
        </is>
      </c>
      <c r="C127" s="39" t="n">
        <v>2</v>
      </c>
      <c r="D127" s="40" t="inlineStr">
        <is>
          <t>Tuesday — Bench</t>
        </is>
      </c>
      <c r="E127" s="41" t="n">
        <v>4</v>
      </c>
      <c r="F127" s="40" t="inlineStr">
        <is>
          <t>Triceps pressdown</t>
        </is>
      </c>
      <c r="G127" s="41" t="inlineStr">
        <is>
          <t>Accessory</t>
        </is>
      </c>
      <c r="H127" s="41" t="inlineStr">
        <is>
          <t>-</t>
        </is>
      </c>
      <c r="I127" s="39" t="n">
        <v>3</v>
      </c>
      <c r="J127" s="39" t="inlineStr">
        <is>
          <t>12</t>
        </is>
      </c>
      <c r="K127" s="39" t="inlineStr"/>
      <c r="L127" s="32" t="inlineStr"/>
      <c r="M127" s="41" t="inlineStr"/>
      <c r="N127" s="37" t="inlineStr"/>
      <c r="O127" s="8" t="inlineStr"/>
      <c r="P127" s="13" t="inlineStr"/>
      <c r="Q127" s="14" t="inlineStr">
        <is>
          <t>[ ]</t>
        </is>
      </c>
    </row>
    <row r="128" ht="22" customHeight="1">
      <c r="A128" s="28" t="n">
        <v>6</v>
      </c>
      <c r="B128" s="34" t="inlineStr">
        <is>
          <t>Intensification</t>
        </is>
      </c>
      <c r="C128" s="30" t="n">
        <v>2</v>
      </c>
      <c r="D128" s="31" t="inlineStr">
        <is>
          <t>Tuesday — Bench</t>
        </is>
      </c>
      <c r="E128" s="32" t="n">
        <v>5</v>
      </c>
      <c r="F128" s="31" t="inlineStr">
        <is>
          <t>Face pull</t>
        </is>
      </c>
      <c r="G128" s="32" t="inlineStr">
        <is>
          <t>Accessory</t>
        </is>
      </c>
      <c r="H128" s="32" t="inlineStr">
        <is>
          <t>-</t>
        </is>
      </c>
      <c r="I128" s="30" t="n">
        <v>3</v>
      </c>
      <c r="J128" s="30" t="inlineStr">
        <is>
          <t>15</t>
        </is>
      </c>
      <c r="K128" s="30" t="inlineStr"/>
      <c r="L128" s="32" t="inlineStr"/>
      <c r="M128" s="32" t="inlineStr"/>
      <c r="N128" s="37" t="inlineStr"/>
      <c r="O128" s="8" t="inlineStr"/>
      <c r="P128" s="13" t="inlineStr"/>
      <c r="Q128" s="14" t="inlineStr">
        <is>
          <t>[ ]</t>
        </is>
      </c>
    </row>
    <row r="129" ht="22" customHeight="1">
      <c r="A129" s="28" t="n">
        <v>6</v>
      </c>
      <c r="B129" s="34" t="inlineStr">
        <is>
          <t>Intensification</t>
        </is>
      </c>
      <c r="C129" s="30" t="n">
        <v>3</v>
      </c>
      <c r="D129" s="31" t="inlineStr">
        <is>
          <t>Thursday — Deadlift</t>
        </is>
      </c>
      <c r="E129" s="32" t="n">
        <v>1</v>
      </c>
      <c r="F129" s="33" t="inlineStr">
        <is>
          <t>Deadlift</t>
        </is>
      </c>
      <c r="G129" s="34" t="inlineStr">
        <is>
          <t>Main Lift</t>
        </is>
      </c>
      <c r="H129" s="32" t="inlineStr">
        <is>
          <t>DEADLIFT</t>
        </is>
      </c>
      <c r="I129" s="28" t="n">
        <v>3</v>
      </c>
      <c r="J129" s="28" t="inlineStr">
        <is>
          <t>3</t>
        </is>
      </c>
      <c r="K129" s="28" t="inlineStr">
        <is>
          <t>82%</t>
        </is>
      </c>
      <c r="L129" s="35">
        <f>ROUND('Setup &amp; Dashboard'!$C$9*0.82/5, 0)*5</f>
        <v/>
      </c>
      <c r="M129" s="28" t="inlineStr">
        <is>
          <t>RPE 8</t>
        </is>
      </c>
      <c r="N129" s="37" t="inlineStr"/>
      <c r="O129" s="8" t="inlineStr"/>
      <c r="P129" s="13" t="inlineStr"/>
      <c r="Q129" s="14" t="inlineStr">
        <is>
          <t>[ ]</t>
        </is>
      </c>
    </row>
    <row r="130" ht="22" customHeight="1">
      <c r="A130" s="28" t="n">
        <v>6</v>
      </c>
      <c r="B130" s="34" t="inlineStr">
        <is>
          <t>Intensification</t>
        </is>
      </c>
      <c r="C130" s="30" t="n">
        <v>3</v>
      </c>
      <c r="D130" s="31" t="inlineStr">
        <is>
          <t>Thursday — Deadlift</t>
        </is>
      </c>
      <c r="E130" s="32" t="n">
        <v>2</v>
      </c>
      <c r="F130" s="33" t="inlineStr">
        <is>
          <t>1.5-rep deadlift (knee height)</t>
        </is>
      </c>
      <c r="G130" s="34" t="inlineStr">
        <is>
          <t>Main Lift</t>
        </is>
      </c>
      <c r="H130" s="32" t="inlineStr">
        <is>
          <t>DEADLIFT</t>
        </is>
      </c>
      <c r="I130" s="28" t="n">
        <v>3</v>
      </c>
      <c r="J130" s="28" t="inlineStr">
        <is>
          <t>3</t>
        </is>
      </c>
      <c r="K130" s="28" t="inlineStr">
        <is>
          <t>60% + 25 lb</t>
        </is>
      </c>
      <c r="L130" s="35">
        <f>ROUND('Setup &amp; Dashboard'!$C$9*0.6/5, 0)*5+25</f>
        <v/>
      </c>
      <c r="M130" s="32" t="inlineStr"/>
      <c r="N130" s="36" t="inlineStr">
        <is>
          <t>Reset every rep; lower to just below knee, return to lockout, then lower fully. W1 60% DL max; add +5 lb/week only if clean and ≤RPE 7. Deload: 2x3 @55% max.</t>
        </is>
      </c>
      <c r="O130" s="8" t="inlineStr"/>
      <c r="P130" s="13" t="inlineStr"/>
      <c r="Q130" s="14" t="inlineStr">
        <is>
          <t>[ ]</t>
        </is>
      </c>
    </row>
    <row r="131" ht="22" customHeight="1">
      <c r="A131" s="38" t="n">
        <v>6</v>
      </c>
      <c r="B131" s="34" t="inlineStr">
        <is>
          <t>Intensification</t>
        </is>
      </c>
      <c r="C131" s="39" t="n">
        <v>3</v>
      </c>
      <c r="D131" s="40" t="inlineStr">
        <is>
          <t>Thursday — Deadlift</t>
        </is>
      </c>
      <c r="E131" s="41" t="n">
        <v>3</v>
      </c>
      <c r="F131" s="40" t="inlineStr">
        <is>
          <t>Reverse hyper</t>
        </is>
      </c>
      <c r="G131" s="41" t="inlineStr">
        <is>
          <t>Accessory</t>
        </is>
      </c>
      <c r="H131" s="41" t="inlineStr">
        <is>
          <t>-</t>
        </is>
      </c>
      <c r="I131" s="39" t="n">
        <v>2</v>
      </c>
      <c r="J131" s="39" t="inlineStr">
        <is>
          <t>12</t>
        </is>
      </c>
      <c r="K131" s="39" t="inlineStr"/>
      <c r="L131" s="32" t="inlineStr"/>
      <c r="M131" s="41" t="inlineStr"/>
      <c r="N131" s="37" t="inlineStr"/>
      <c r="O131" s="8" t="inlineStr"/>
      <c r="P131" s="13" t="inlineStr"/>
      <c r="Q131" s="14" t="inlineStr">
        <is>
          <t>[ ]</t>
        </is>
      </c>
    </row>
    <row r="132" ht="22" customHeight="1">
      <c r="A132" s="28" t="n">
        <v>6</v>
      </c>
      <c r="B132" s="34" t="inlineStr">
        <is>
          <t>Intensification</t>
        </is>
      </c>
      <c r="C132" s="30" t="n">
        <v>3</v>
      </c>
      <c r="D132" s="31" t="inlineStr">
        <is>
          <t>Thursday — Deadlift</t>
        </is>
      </c>
      <c r="E132" s="32" t="n">
        <v>4</v>
      </c>
      <c r="F132" s="31" t="inlineStr">
        <is>
          <t>Jefferson curl</t>
        </is>
      </c>
      <c r="G132" s="32" t="inlineStr">
        <is>
          <t>Accessory</t>
        </is>
      </c>
      <c r="H132" s="32" t="inlineStr">
        <is>
          <t>-</t>
        </is>
      </c>
      <c r="I132" s="30" t="n">
        <v>2</v>
      </c>
      <c r="J132" s="30" t="inlineStr">
        <is>
          <t>8</t>
        </is>
      </c>
      <c r="K132" s="30" t="inlineStr"/>
      <c r="L132" s="32" t="inlineStr"/>
      <c r="M132" s="32" t="inlineStr"/>
      <c r="N132" s="37" t="inlineStr"/>
      <c r="O132" s="8" t="inlineStr"/>
      <c r="P132" s="13" t="inlineStr"/>
      <c r="Q132" s="14" t="inlineStr">
        <is>
          <t>[ ]</t>
        </is>
      </c>
    </row>
    <row r="133" ht="22" customHeight="1">
      <c r="A133" s="28" t="n">
        <v>6</v>
      </c>
      <c r="B133" s="34" t="inlineStr">
        <is>
          <t>Intensification</t>
        </is>
      </c>
      <c r="C133" s="30" t="n">
        <v>4</v>
      </c>
      <c r="D133" s="31" t="inlineStr">
        <is>
          <t>Friday — Bench variant / upper body</t>
        </is>
      </c>
      <c r="E133" s="32" t="n">
        <v>1</v>
      </c>
      <c r="F133" s="33" t="inlineStr">
        <is>
          <t>Spoto press</t>
        </is>
      </c>
      <c r="G133" s="34" t="inlineStr">
        <is>
          <t>Main Lift</t>
        </is>
      </c>
      <c r="H133" s="32" t="inlineStr">
        <is>
          <t>BENCH</t>
        </is>
      </c>
      <c r="I133" s="28" t="n">
        <v>4</v>
      </c>
      <c r="J133" s="28" t="inlineStr">
        <is>
          <t>3</t>
        </is>
      </c>
      <c r="K133" s="28" t="inlineStr">
        <is>
          <t>65%</t>
        </is>
      </c>
      <c r="L133" s="35">
        <f>ROUND('Setup &amp; Dashboard'!$C$8*0.65/5, 0)*5</f>
        <v/>
      </c>
      <c r="M133" s="28" t="inlineStr">
        <is>
          <t>RPE 7</t>
        </is>
      </c>
      <c r="N133" s="37" t="inlineStr"/>
      <c r="O133" s="8" t="inlineStr"/>
      <c r="P133" s="13" t="inlineStr"/>
      <c r="Q133" s="14" t="inlineStr">
        <is>
          <t>[ ]</t>
        </is>
      </c>
    </row>
    <row r="134" ht="22" customHeight="1">
      <c r="A134" s="28" t="n">
        <v>6</v>
      </c>
      <c r="B134" s="34" t="inlineStr">
        <is>
          <t>Intensification</t>
        </is>
      </c>
      <c r="C134" s="30" t="n">
        <v>4</v>
      </c>
      <c r="D134" s="31" t="inlineStr">
        <is>
          <t>Friday — Bench variant / upper body</t>
        </is>
      </c>
      <c r="E134" s="32" t="n">
        <v>2</v>
      </c>
      <c r="F134" s="31" t="inlineStr">
        <is>
          <t>Lat pulldown</t>
        </is>
      </c>
      <c r="G134" s="32" t="inlineStr">
        <is>
          <t>Accessory</t>
        </is>
      </c>
      <c r="H134" s="32" t="inlineStr">
        <is>
          <t>-</t>
        </is>
      </c>
      <c r="I134" s="30" t="n">
        <v>3</v>
      </c>
      <c r="J134" s="30" t="inlineStr">
        <is>
          <t>10</t>
        </is>
      </c>
      <c r="K134" s="30" t="inlineStr"/>
      <c r="L134" s="32" t="inlineStr"/>
      <c r="M134" s="32" t="inlineStr"/>
      <c r="N134" s="37" t="inlineStr"/>
      <c r="O134" s="8" t="inlineStr"/>
      <c r="P134" s="13" t="inlineStr"/>
      <c r="Q134" s="14" t="inlineStr">
        <is>
          <t>[ ]</t>
        </is>
      </c>
    </row>
    <row r="135" ht="22" customHeight="1">
      <c r="A135" s="38" t="n">
        <v>6</v>
      </c>
      <c r="B135" s="34" t="inlineStr">
        <is>
          <t>Intensification</t>
        </is>
      </c>
      <c r="C135" s="39" t="n">
        <v>4</v>
      </c>
      <c r="D135" s="40" t="inlineStr">
        <is>
          <t>Friday — Bench variant / upper body</t>
        </is>
      </c>
      <c r="E135" s="41" t="n">
        <v>3</v>
      </c>
      <c r="F135" s="40" t="inlineStr">
        <is>
          <t>Lateral raise</t>
        </is>
      </c>
      <c r="G135" s="41" t="inlineStr">
        <is>
          <t>Accessory</t>
        </is>
      </c>
      <c r="H135" s="41" t="inlineStr">
        <is>
          <t>-</t>
        </is>
      </c>
      <c r="I135" s="39" t="n">
        <v>3</v>
      </c>
      <c r="J135" s="39" t="inlineStr">
        <is>
          <t>15</t>
        </is>
      </c>
      <c r="K135" s="39" t="inlineStr"/>
      <c r="L135" s="32" t="inlineStr"/>
      <c r="M135" s="41" t="inlineStr"/>
      <c r="N135" s="37" t="inlineStr"/>
      <c r="O135" s="8" t="inlineStr"/>
      <c r="P135" s="13" t="inlineStr"/>
      <c r="Q135" s="14" t="inlineStr">
        <is>
          <t>[ ]</t>
        </is>
      </c>
    </row>
    <row r="136" ht="22" customHeight="1">
      <c r="A136" s="28" t="n">
        <v>6</v>
      </c>
      <c r="B136" s="34" t="inlineStr">
        <is>
          <t>Intensification</t>
        </is>
      </c>
      <c r="C136" s="30" t="n">
        <v>4</v>
      </c>
      <c r="D136" s="31" t="inlineStr">
        <is>
          <t>Friday — Bench variant / upper body</t>
        </is>
      </c>
      <c r="E136" s="32" t="n">
        <v>4</v>
      </c>
      <c r="F136" s="31" t="inlineStr">
        <is>
          <t>Curl</t>
        </is>
      </c>
      <c r="G136" s="32" t="inlineStr">
        <is>
          <t>Accessory</t>
        </is>
      </c>
      <c r="H136" s="32" t="inlineStr">
        <is>
          <t>-</t>
        </is>
      </c>
      <c r="I136" s="30" t="n">
        <v>3</v>
      </c>
      <c r="J136" s="30" t="inlineStr">
        <is>
          <t>10-12</t>
        </is>
      </c>
      <c r="K136" s="30" t="inlineStr"/>
      <c r="L136" s="32" t="inlineStr"/>
      <c r="M136" s="32" t="inlineStr"/>
      <c r="N136" s="37" t="inlineStr"/>
      <c r="O136" s="8" t="inlineStr"/>
      <c r="P136" s="13" t="inlineStr"/>
      <c r="Q136" s="14" t="inlineStr">
        <is>
          <t>[ ]</t>
        </is>
      </c>
    </row>
    <row r="137" ht="22" customHeight="1">
      <c r="A137" s="38" t="n">
        <v>6</v>
      </c>
      <c r="B137" s="34" t="inlineStr">
        <is>
          <t>Intensification</t>
        </is>
      </c>
      <c r="C137" s="39" t="n">
        <v>4</v>
      </c>
      <c r="D137" s="40" t="inlineStr">
        <is>
          <t>Friday — Bench variant / upper body</t>
        </is>
      </c>
      <c r="E137" s="41" t="n">
        <v>5</v>
      </c>
      <c r="F137" s="40" t="inlineStr">
        <is>
          <t>Pallof press</t>
        </is>
      </c>
      <c r="G137" s="41" t="inlineStr">
        <is>
          <t>Accessory</t>
        </is>
      </c>
      <c r="H137" s="41" t="inlineStr">
        <is>
          <t>-</t>
        </is>
      </c>
      <c r="I137" s="39" t="n">
        <v>3</v>
      </c>
      <c r="J137" s="39" t="inlineStr">
        <is>
          <t>10/side</t>
        </is>
      </c>
      <c r="K137" s="39" t="inlineStr"/>
      <c r="L137" s="32" t="inlineStr"/>
      <c r="M137" s="41" t="inlineStr"/>
      <c r="N137" s="37" t="inlineStr"/>
      <c r="O137" s="8" t="inlineStr"/>
      <c r="P137" s="13" t="inlineStr"/>
      <c r="Q137" s="14" t="inlineStr">
        <is>
          <t>[ ]</t>
        </is>
      </c>
    </row>
    <row r="138" ht="22" customHeight="1">
      <c r="A138" s="28" t="n">
        <v>6</v>
      </c>
      <c r="B138" s="34" t="inlineStr">
        <is>
          <t>Intensification</t>
        </is>
      </c>
      <c r="C138" s="30" t="n">
        <v>5</v>
      </c>
      <c r="D138" s="31" t="inlineStr">
        <is>
          <t>Saturday — Squat variant + Bent-over row</t>
        </is>
      </c>
      <c r="E138" s="32" t="n">
        <v>1</v>
      </c>
      <c r="F138" s="33" t="inlineStr">
        <is>
          <t>Paused squat</t>
        </is>
      </c>
      <c r="G138" s="34" t="inlineStr">
        <is>
          <t>Main Lift</t>
        </is>
      </c>
      <c r="H138" s="32" t="inlineStr">
        <is>
          <t>SQUAT</t>
        </is>
      </c>
      <c r="I138" s="28" t="n">
        <v>3</v>
      </c>
      <c r="J138" s="28" t="inlineStr">
        <is>
          <t>4</t>
        </is>
      </c>
      <c r="K138" s="28" t="inlineStr">
        <is>
          <t>70% + 20 lb</t>
        </is>
      </c>
      <c r="L138" s="35">
        <f>ROUND('Setup &amp; Dashboard'!$C$7*0.7/5, 0)*5+20</f>
        <v/>
      </c>
      <c r="M138" s="28" t="inlineStr">
        <is>
          <t>RPE ≤8</t>
        </is>
      </c>
      <c r="N138" s="36" t="inlineStr">
        <is>
          <t>Clean reps; no grinding</t>
        </is>
      </c>
      <c r="O138" s="8" t="inlineStr"/>
      <c r="P138" s="13" t="inlineStr"/>
      <c r="Q138" s="14" t="inlineStr">
        <is>
          <t>[ ]</t>
        </is>
      </c>
    </row>
    <row r="139" ht="22" customHeight="1">
      <c r="A139" s="38" t="n">
        <v>6</v>
      </c>
      <c r="B139" s="34" t="inlineStr">
        <is>
          <t>Intensification</t>
        </is>
      </c>
      <c r="C139" s="39" t="n">
        <v>5</v>
      </c>
      <c r="D139" s="40" t="inlineStr">
        <is>
          <t>Saturday — Squat variant + Bent-over row</t>
        </is>
      </c>
      <c r="E139" s="41" t="n">
        <v>2</v>
      </c>
      <c r="F139" s="40" t="inlineStr">
        <is>
          <t>Bent-over row</t>
        </is>
      </c>
      <c r="G139" s="41" t="inlineStr">
        <is>
          <t>Accessory</t>
        </is>
      </c>
      <c r="H139" s="41" t="inlineStr">
        <is>
          <t>ROW</t>
        </is>
      </c>
      <c r="I139" s="39" t="n">
        <v>4</v>
      </c>
      <c r="J139" s="39" t="inlineStr">
        <is>
          <t>4-6</t>
        </is>
      </c>
      <c r="K139" s="39" t="inlineStr">
        <is>
          <t>Linear +5lb</t>
        </is>
      </c>
      <c r="L139" s="35">
        <f>'Setup &amp; Dashboard'!$C$10+(6-1)*5</f>
        <v/>
      </c>
      <c r="M139" s="41" t="inlineStr"/>
      <c r="N139" s="36" t="inlineStr">
        <is>
          <t>4 strict sets. Add 5 lb next exposure only when every set is clean and ≤RPE 8; deload load/reps, no failure.</t>
        </is>
      </c>
      <c r="O139" s="8" t="inlineStr"/>
      <c r="P139" s="13" t="inlineStr"/>
      <c r="Q139" s="14" t="inlineStr">
        <is>
          <t>[ ]</t>
        </is>
      </c>
    </row>
    <row r="140" ht="22" customHeight="1">
      <c r="A140" s="28" t="n">
        <v>6</v>
      </c>
      <c r="B140" s="34" t="inlineStr">
        <is>
          <t>Intensification</t>
        </is>
      </c>
      <c r="C140" s="30" t="n">
        <v>5</v>
      </c>
      <c r="D140" s="31" t="inlineStr">
        <is>
          <t>Saturday — Squat variant + Bent-over row</t>
        </is>
      </c>
      <c r="E140" s="32" t="n">
        <v>3</v>
      </c>
      <c r="F140" s="31" t="inlineStr">
        <is>
          <t>Reverse hyper</t>
        </is>
      </c>
      <c r="G140" s="32" t="inlineStr">
        <is>
          <t>Accessory</t>
        </is>
      </c>
      <c r="H140" s="32" t="inlineStr">
        <is>
          <t>-</t>
        </is>
      </c>
      <c r="I140" s="30" t="n">
        <v>2</v>
      </c>
      <c r="J140" s="30" t="inlineStr">
        <is>
          <t>12</t>
        </is>
      </c>
      <c r="K140" s="30" t="inlineStr"/>
      <c r="L140" s="32" t="inlineStr"/>
      <c r="M140" s="32" t="inlineStr"/>
      <c r="N140" s="37" t="inlineStr"/>
      <c r="O140" s="8" t="inlineStr"/>
      <c r="P140" s="13" t="inlineStr"/>
      <c r="Q140" s="14" t="inlineStr">
        <is>
          <t>[ ]</t>
        </is>
      </c>
    </row>
    <row r="141" ht="22" customHeight="1">
      <c r="A141" s="38" t="n">
        <v>6</v>
      </c>
      <c r="B141" s="34" t="inlineStr">
        <is>
          <t>Intensification</t>
        </is>
      </c>
      <c r="C141" s="39" t="n">
        <v>5</v>
      </c>
      <c r="D141" s="40" t="inlineStr">
        <is>
          <t>Saturday — Squat variant + Bent-over row</t>
        </is>
      </c>
      <c r="E141" s="41" t="n">
        <v>4</v>
      </c>
      <c r="F141" s="40" t="inlineStr">
        <is>
          <t>GHR or Nordic curl</t>
        </is>
      </c>
      <c r="G141" s="41" t="inlineStr">
        <is>
          <t>Accessory</t>
        </is>
      </c>
      <c r="H141" s="41" t="inlineStr">
        <is>
          <t>-</t>
        </is>
      </c>
      <c r="I141" s="39" t="n">
        <v>3</v>
      </c>
      <c r="J141" s="39" t="inlineStr">
        <is>
          <t>8</t>
        </is>
      </c>
      <c r="K141" s="39" t="inlineStr"/>
      <c r="L141" s="32" t="inlineStr"/>
      <c r="M141" s="41" t="inlineStr"/>
      <c r="N141" s="37" t="inlineStr"/>
      <c r="O141" s="8" t="inlineStr"/>
      <c r="P141" s="13" t="inlineStr"/>
      <c r="Q141" s="14" t="inlineStr">
        <is>
          <t>[ ]</t>
        </is>
      </c>
    </row>
    <row r="142" ht="22" customHeight="1">
      <c r="A142" s="28" t="n">
        <v>7</v>
      </c>
      <c r="B142" s="34" t="inlineStr">
        <is>
          <t>Intensification</t>
        </is>
      </c>
      <c r="C142" s="30" t="n">
        <v>1</v>
      </c>
      <c r="D142" s="31" t="inlineStr">
        <is>
          <t>Monday — Squat</t>
        </is>
      </c>
      <c r="E142" s="32" t="n">
        <v>1</v>
      </c>
      <c r="F142" s="33" t="inlineStr">
        <is>
          <t>Squat — top single</t>
        </is>
      </c>
      <c r="G142" s="34" t="inlineStr">
        <is>
          <t>Main Lift</t>
        </is>
      </c>
      <c r="H142" s="32" t="inlineStr">
        <is>
          <t>SQUAT</t>
        </is>
      </c>
      <c r="I142" s="28" t="n">
        <v>1</v>
      </c>
      <c r="J142" s="28" t="inlineStr">
        <is>
          <t>1</t>
        </is>
      </c>
      <c r="K142" s="28" t="inlineStr">
        <is>
          <t>92%</t>
        </is>
      </c>
      <c r="L142" s="35">
        <f>ROUND('Setup &amp; Dashboard'!$C$7*0.92/5, 0)*5</f>
        <v/>
      </c>
      <c r="M142" s="28" t="inlineStr">
        <is>
          <t>RPE 8 cap</t>
        </is>
      </c>
      <c r="N142" s="36" t="inlineStr">
        <is>
          <t>Smooth single, no grind</t>
        </is>
      </c>
      <c r="O142" s="8" t="inlineStr"/>
      <c r="P142" s="13" t="inlineStr"/>
      <c r="Q142" s="14" t="inlineStr">
        <is>
          <t>[ ]</t>
        </is>
      </c>
    </row>
    <row r="143" ht="22" customHeight="1">
      <c r="A143" s="28" t="n">
        <v>7</v>
      </c>
      <c r="B143" s="34" t="inlineStr">
        <is>
          <t>Intensification</t>
        </is>
      </c>
      <c r="C143" s="30" t="n">
        <v>1</v>
      </c>
      <c r="D143" s="31" t="inlineStr">
        <is>
          <t>Monday — Squat</t>
        </is>
      </c>
      <c r="E143" s="32" t="n">
        <v>2</v>
      </c>
      <c r="F143" s="33" t="inlineStr">
        <is>
          <t>Squat — back-off</t>
        </is>
      </c>
      <c r="G143" s="34" t="inlineStr">
        <is>
          <t>Main Lift</t>
        </is>
      </c>
      <c r="H143" s="32" t="inlineStr">
        <is>
          <t>SQUAT</t>
        </is>
      </c>
      <c r="I143" s="28" t="n">
        <v>5</v>
      </c>
      <c r="J143" s="28" t="inlineStr">
        <is>
          <t>2</t>
        </is>
      </c>
      <c r="K143" s="28" t="inlineStr">
        <is>
          <t>87%</t>
        </is>
      </c>
      <c r="L143" s="35">
        <f>ROUND('Setup &amp; Dashboard'!$C$7*0.87/5, 0)*5</f>
        <v/>
      </c>
      <c r="M143" s="28" t="inlineStr">
        <is>
          <t>RPE 8</t>
        </is>
      </c>
      <c r="N143" s="37" t="inlineStr"/>
      <c r="O143" s="8" t="inlineStr"/>
      <c r="P143" s="13" t="inlineStr"/>
      <c r="Q143" s="14" t="inlineStr">
        <is>
          <t>[ ]</t>
        </is>
      </c>
    </row>
    <row r="144" ht="22" customHeight="1">
      <c r="A144" s="28" t="n">
        <v>7</v>
      </c>
      <c r="B144" s="34" t="inlineStr">
        <is>
          <t>Intensification</t>
        </is>
      </c>
      <c r="C144" s="30" t="n">
        <v>1</v>
      </c>
      <c r="D144" s="31" t="inlineStr">
        <is>
          <t>Monday — Squat</t>
        </is>
      </c>
      <c r="E144" s="32" t="n">
        <v>3</v>
      </c>
      <c r="F144" s="31" t="inlineStr">
        <is>
          <t>Split squat</t>
        </is>
      </c>
      <c r="G144" s="32" t="inlineStr">
        <is>
          <t>Accessory</t>
        </is>
      </c>
      <c r="H144" s="32" t="inlineStr">
        <is>
          <t>-</t>
        </is>
      </c>
      <c r="I144" s="30" t="n">
        <v>2</v>
      </c>
      <c r="J144" s="30" t="inlineStr">
        <is>
          <t>8/leg</t>
        </is>
      </c>
      <c r="K144" s="30" t="inlineStr"/>
      <c r="L144" s="32" t="inlineStr"/>
      <c r="M144" s="32" t="inlineStr"/>
      <c r="N144" s="37" t="inlineStr"/>
      <c r="O144" s="8" t="inlineStr"/>
      <c r="P144" s="13" t="inlineStr"/>
      <c r="Q144" s="14" t="inlineStr">
        <is>
          <t>[ ]</t>
        </is>
      </c>
    </row>
    <row r="145" ht="22" customHeight="1">
      <c r="A145" s="38" t="n">
        <v>7</v>
      </c>
      <c r="B145" s="34" t="inlineStr">
        <is>
          <t>Intensification</t>
        </is>
      </c>
      <c r="C145" s="39" t="n">
        <v>1</v>
      </c>
      <c r="D145" s="40" t="inlineStr">
        <is>
          <t>Monday — Squat</t>
        </is>
      </c>
      <c r="E145" s="41" t="n">
        <v>4</v>
      </c>
      <c r="F145" s="40" t="inlineStr">
        <is>
          <t>Leg curl</t>
        </is>
      </c>
      <c r="G145" s="41" t="inlineStr">
        <is>
          <t>Accessory</t>
        </is>
      </c>
      <c r="H145" s="41" t="inlineStr">
        <is>
          <t>-</t>
        </is>
      </c>
      <c r="I145" s="39" t="n">
        <v>3</v>
      </c>
      <c r="J145" s="39" t="inlineStr">
        <is>
          <t>10</t>
        </is>
      </c>
      <c r="K145" s="39" t="inlineStr"/>
      <c r="L145" s="32" t="inlineStr"/>
      <c r="M145" s="41" t="inlineStr"/>
      <c r="N145" s="37" t="inlineStr"/>
      <c r="O145" s="8" t="inlineStr"/>
      <c r="P145" s="13" t="inlineStr"/>
      <c r="Q145" s="14" t="inlineStr">
        <is>
          <t>[ ]</t>
        </is>
      </c>
    </row>
    <row r="146" ht="22" customHeight="1">
      <c r="A146" s="28" t="n">
        <v>7</v>
      </c>
      <c r="B146" s="34" t="inlineStr">
        <is>
          <t>Intensification</t>
        </is>
      </c>
      <c r="C146" s="30" t="n">
        <v>1</v>
      </c>
      <c r="D146" s="31" t="inlineStr">
        <is>
          <t>Monday — Squat</t>
        </is>
      </c>
      <c r="E146" s="32" t="n">
        <v>5</v>
      </c>
      <c r="F146" s="31" t="inlineStr">
        <is>
          <t>Copenhagen plank</t>
        </is>
      </c>
      <c r="G146" s="32" t="inlineStr">
        <is>
          <t>Accessory</t>
        </is>
      </c>
      <c r="H146" s="32" t="inlineStr">
        <is>
          <t>-</t>
        </is>
      </c>
      <c r="I146" s="30" t="n">
        <v>3</v>
      </c>
      <c r="J146" s="30" t="inlineStr">
        <is>
          <t>20sec/side</t>
        </is>
      </c>
      <c r="K146" s="30" t="inlineStr"/>
      <c r="L146" s="32" t="inlineStr"/>
      <c r="M146" s="32" t="inlineStr"/>
      <c r="N146" s="37" t="inlineStr"/>
      <c r="O146" s="8" t="inlineStr"/>
      <c r="P146" s="13" t="inlineStr"/>
      <c r="Q146" s="14" t="inlineStr">
        <is>
          <t>[ ]</t>
        </is>
      </c>
    </row>
    <row r="147" ht="22" customHeight="1">
      <c r="A147" s="28" t="n">
        <v>7</v>
      </c>
      <c r="B147" s="34" t="inlineStr">
        <is>
          <t>Intensification</t>
        </is>
      </c>
      <c r="C147" s="30" t="n">
        <v>2</v>
      </c>
      <c r="D147" s="31" t="inlineStr">
        <is>
          <t>Tuesday — Bench</t>
        </is>
      </c>
      <c r="E147" s="32" t="n">
        <v>1</v>
      </c>
      <c r="F147" s="33" t="inlineStr">
        <is>
          <t>Bench</t>
        </is>
      </c>
      <c r="G147" s="34" t="inlineStr">
        <is>
          <t>Main Lift</t>
        </is>
      </c>
      <c r="H147" s="32" t="inlineStr">
        <is>
          <t>BENCH</t>
        </is>
      </c>
      <c r="I147" s="28" t="n">
        <v>8</v>
      </c>
      <c r="J147" s="28" t="inlineStr">
        <is>
          <t>2</t>
        </is>
      </c>
      <c r="K147" s="28" t="inlineStr">
        <is>
          <t>87%</t>
        </is>
      </c>
      <c r="L147" s="35">
        <f>ROUND('Setup &amp; Dashboard'!$C$8*0.87/5, 0)*5</f>
        <v/>
      </c>
      <c r="M147" s="28" t="inlineStr">
        <is>
          <t>RPE 8</t>
        </is>
      </c>
      <c r="N147" s="37" t="inlineStr"/>
      <c r="O147" s="8" t="inlineStr"/>
      <c r="P147" s="13" t="inlineStr"/>
      <c r="Q147" s="14" t="inlineStr">
        <is>
          <t>[ ]</t>
        </is>
      </c>
    </row>
    <row r="148" ht="22" customHeight="1">
      <c r="A148" s="28" t="n">
        <v>7</v>
      </c>
      <c r="B148" s="34" t="inlineStr">
        <is>
          <t>Intensification</t>
        </is>
      </c>
      <c r="C148" s="30" t="n">
        <v>2</v>
      </c>
      <c r="D148" s="31" t="inlineStr">
        <is>
          <t>Tuesday — Bench</t>
        </is>
      </c>
      <c r="E148" s="32" t="n">
        <v>2</v>
      </c>
      <c r="F148" s="31" t="inlineStr">
        <is>
          <t>Close-grip bench</t>
        </is>
      </c>
      <c r="G148" s="32" t="inlineStr">
        <is>
          <t>Accessory</t>
        </is>
      </c>
      <c r="H148" s="32" t="inlineStr">
        <is>
          <t>-</t>
        </is>
      </c>
      <c r="I148" s="30" t="n">
        <v>3</v>
      </c>
      <c r="J148" s="30" t="inlineStr">
        <is>
          <t>4-5</t>
        </is>
      </c>
      <c r="K148" s="30" t="inlineStr"/>
      <c r="L148" s="32" t="inlineStr"/>
      <c r="M148" s="32" t="inlineStr"/>
      <c r="N148" s="37" t="inlineStr"/>
      <c r="O148" s="8" t="inlineStr"/>
      <c r="P148" s="13" t="inlineStr"/>
      <c r="Q148" s="14" t="inlineStr">
        <is>
          <t>[ ]</t>
        </is>
      </c>
    </row>
    <row r="149" ht="22" customHeight="1">
      <c r="A149" s="38" t="n">
        <v>7</v>
      </c>
      <c r="B149" s="34" t="inlineStr">
        <is>
          <t>Intensification</t>
        </is>
      </c>
      <c r="C149" s="39" t="n">
        <v>2</v>
      </c>
      <c r="D149" s="40" t="inlineStr">
        <is>
          <t>Tuesday — Bench</t>
        </is>
      </c>
      <c r="E149" s="41" t="n">
        <v>3</v>
      </c>
      <c r="F149" s="40" t="inlineStr">
        <is>
          <t>Incline DB press</t>
        </is>
      </c>
      <c r="G149" s="41" t="inlineStr">
        <is>
          <t>Accessory</t>
        </is>
      </c>
      <c r="H149" s="41" t="inlineStr">
        <is>
          <t>-</t>
        </is>
      </c>
      <c r="I149" s="39" t="n">
        <v>3</v>
      </c>
      <c r="J149" s="39" t="inlineStr">
        <is>
          <t>8</t>
        </is>
      </c>
      <c r="K149" s="39" t="inlineStr"/>
      <c r="L149" s="32" t="inlineStr"/>
      <c r="M149" s="41" t="inlineStr"/>
      <c r="N149" s="37" t="inlineStr"/>
      <c r="O149" s="8" t="inlineStr"/>
      <c r="P149" s="13" t="inlineStr"/>
      <c r="Q149" s="14" t="inlineStr">
        <is>
          <t>[ ]</t>
        </is>
      </c>
    </row>
    <row r="150" ht="22" customHeight="1">
      <c r="A150" s="28" t="n">
        <v>7</v>
      </c>
      <c r="B150" s="34" t="inlineStr">
        <is>
          <t>Intensification</t>
        </is>
      </c>
      <c r="C150" s="30" t="n">
        <v>2</v>
      </c>
      <c r="D150" s="31" t="inlineStr">
        <is>
          <t>Tuesday — Bench</t>
        </is>
      </c>
      <c r="E150" s="32" t="n">
        <v>4</v>
      </c>
      <c r="F150" s="31" t="inlineStr">
        <is>
          <t>Triceps pressdown</t>
        </is>
      </c>
      <c r="G150" s="32" t="inlineStr">
        <is>
          <t>Accessory</t>
        </is>
      </c>
      <c r="H150" s="32" t="inlineStr">
        <is>
          <t>-</t>
        </is>
      </c>
      <c r="I150" s="30" t="n">
        <v>3</v>
      </c>
      <c r="J150" s="30" t="inlineStr">
        <is>
          <t>12</t>
        </is>
      </c>
      <c r="K150" s="30" t="inlineStr"/>
      <c r="L150" s="32" t="inlineStr"/>
      <c r="M150" s="32" t="inlineStr"/>
      <c r="N150" s="37" t="inlineStr"/>
      <c r="O150" s="8" t="inlineStr"/>
      <c r="P150" s="13" t="inlineStr"/>
      <c r="Q150" s="14" t="inlineStr">
        <is>
          <t>[ ]</t>
        </is>
      </c>
    </row>
    <row r="151" ht="22" customHeight="1">
      <c r="A151" s="38" t="n">
        <v>7</v>
      </c>
      <c r="B151" s="34" t="inlineStr">
        <is>
          <t>Intensification</t>
        </is>
      </c>
      <c r="C151" s="39" t="n">
        <v>2</v>
      </c>
      <c r="D151" s="40" t="inlineStr">
        <is>
          <t>Tuesday — Bench</t>
        </is>
      </c>
      <c r="E151" s="41" t="n">
        <v>5</v>
      </c>
      <c r="F151" s="40" t="inlineStr">
        <is>
          <t>Face pull</t>
        </is>
      </c>
      <c r="G151" s="41" t="inlineStr">
        <is>
          <t>Accessory</t>
        </is>
      </c>
      <c r="H151" s="41" t="inlineStr">
        <is>
          <t>-</t>
        </is>
      </c>
      <c r="I151" s="39" t="n">
        <v>3</v>
      </c>
      <c r="J151" s="39" t="inlineStr">
        <is>
          <t>15</t>
        </is>
      </c>
      <c r="K151" s="39" t="inlineStr"/>
      <c r="L151" s="32" t="inlineStr"/>
      <c r="M151" s="41" t="inlineStr"/>
      <c r="N151" s="37" t="inlineStr"/>
      <c r="O151" s="8" t="inlineStr"/>
      <c r="P151" s="13" t="inlineStr"/>
      <c r="Q151" s="14" t="inlineStr">
        <is>
          <t>[ ]</t>
        </is>
      </c>
    </row>
    <row r="152" ht="22" customHeight="1">
      <c r="A152" s="28" t="n">
        <v>7</v>
      </c>
      <c r="B152" s="34" t="inlineStr">
        <is>
          <t>Intensification</t>
        </is>
      </c>
      <c r="C152" s="30" t="n">
        <v>3</v>
      </c>
      <c r="D152" s="31" t="inlineStr">
        <is>
          <t>Thursday — Deadlift</t>
        </is>
      </c>
      <c r="E152" s="32" t="n">
        <v>1</v>
      </c>
      <c r="F152" s="33" t="inlineStr">
        <is>
          <t>Deadlift</t>
        </is>
      </c>
      <c r="G152" s="34" t="inlineStr">
        <is>
          <t>Main Lift</t>
        </is>
      </c>
      <c r="H152" s="32" t="inlineStr">
        <is>
          <t>DEADLIFT</t>
        </is>
      </c>
      <c r="I152" s="28" t="n">
        <v>4</v>
      </c>
      <c r="J152" s="28" t="inlineStr">
        <is>
          <t>2</t>
        </is>
      </c>
      <c r="K152" s="28" t="inlineStr">
        <is>
          <t>86%</t>
        </is>
      </c>
      <c r="L152" s="35">
        <f>ROUND('Setup &amp; Dashboard'!$C$9*0.86/5, 0)*5</f>
        <v/>
      </c>
      <c r="M152" s="28" t="inlineStr">
        <is>
          <t>RPE 8</t>
        </is>
      </c>
      <c r="N152" s="37" t="inlineStr"/>
      <c r="O152" s="8" t="inlineStr"/>
      <c r="P152" s="13" t="inlineStr"/>
      <c r="Q152" s="14" t="inlineStr">
        <is>
          <t>[ ]</t>
        </is>
      </c>
    </row>
    <row r="153" ht="22" customHeight="1">
      <c r="A153" s="28" t="n">
        <v>7</v>
      </c>
      <c r="B153" s="34" t="inlineStr">
        <is>
          <t>Intensification</t>
        </is>
      </c>
      <c r="C153" s="30" t="n">
        <v>3</v>
      </c>
      <c r="D153" s="31" t="inlineStr">
        <is>
          <t>Thursday — Deadlift</t>
        </is>
      </c>
      <c r="E153" s="32" t="n">
        <v>2</v>
      </c>
      <c r="F153" s="33" t="inlineStr">
        <is>
          <t>1.5-rep deadlift (knee height)</t>
        </is>
      </c>
      <c r="G153" s="34" t="inlineStr">
        <is>
          <t>Main Lift</t>
        </is>
      </c>
      <c r="H153" s="32" t="inlineStr">
        <is>
          <t>DEADLIFT</t>
        </is>
      </c>
      <c r="I153" s="28" t="n">
        <v>3</v>
      </c>
      <c r="J153" s="28" t="inlineStr">
        <is>
          <t>3</t>
        </is>
      </c>
      <c r="K153" s="28" t="inlineStr">
        <is>
          <t>60% + 30 lb</t>
        </is>
      </c>
      <c r="L153" s="35">
        <f>ROUND('Setup &amp; Dashboard'!$C$9*0.6/5, 0)*5+30</f>
        <v/>
      </c>
      <c r="M153" s="32" t="inlineStr"/>
      <c r="N153" s="36" t="inlineStr">
        <is>
          <t>Reset every rep; lower to just below knee, return to lockout, then lower fully. W1 60% DL max; add +5 lb/week only if clean and ≤RPE 7. Deload: 2x3 @55% max.</t>
        </is>
      </c>
      <c r="O153" s="8" t="inlineStr"/>
      <c r="P153" s="13" t="inlineStr"/>
      <c r="Q153" s="14" t="inlineStr">
        <is>
          <t>[ ]</t>
        </is>
      </c>
    </row>
    <row r="154" ht="22" customHeight="1">
      <c r="A154" s="28" t="n">
        <v>7</v>
      </c>
      <c r="B154" s="34" t="inlineStr">
        <is>
          <t>Intensification</t>
        </is>
      </c>
      <c r="C154" s="30" t="n">
        <v>3</v>
      </c>
      <c r="D154" s="31" t="inlineStr">
        <is>
          <t>Thursday — Deadlift</t>
        </is>
      </c>
      <c r="E154" s="32" t="n">
        <v>3</v>
      </c>
      <c r="F154" s="31" t="inlineStr">
        <is>
          <t>Reverse hyper</t>
        </is>
      </c>
      <c r="G154" s="32" t="inlineStr">
        <is>
          <t>Accessory</t>
        </is>
      </c>
      <c r="H154" s="32" t="inlineStr">
        <is>
          <t>-</t>
        </is>
      </c>
      <c r="I154" s="30" t="n">
        <v>2</v>
      </c>
      <c r="J154" s="30" t="inlineStr">
        <is>
          <t>10-12</t>
        </is>
      </c>
      <c r="K154" s="30" t="inlineStr"/>
      <c r="L154" s="32" t="inlineStr"/>
      <c r="M154" s="32" t="inlineStr"/>
      <c r="N154" s="37" t="inlineStr"/>
      <c r="O154" s="8" t="inlineStr"/>
      <c r="P154" s="13" t="inlineStr"/>
      <c r="Q154" s="14" t="inlineStr">
        <is>
          <t>[ ]</t>
        </is>
      </c>
    </row>
    <row r="155" ht="22" customHeight="1">
      <c r="A155" s="38" t="n">
        <v>7</v>
      </c>
      <c r="B155" s="34" t="inlineStr">
        <is>
          <t>Intensification</t>
        </is>
      </c>
      <c r="C155" s="39" t="n">
        <v>3</v>
      </c>
      <c r="D155" s="40" t="inlineStr">
        <is>
          <t>Thursday — Deadlift</t>
        </is>
      </c>
      <c r="E155" s="41" t="n">
        <v>4</v>
      </c>
      <c r="F155" s="40" t="inlineStr">
        <is>
          <t>Jefferson curl</t>
        </is>
      </c>
      <c r="G155" s="41" t="inlineStr">
        <is>
          <t>Accessory</t>
        </is>
      </c>
      <c r="H155" s="41" t="inlineStr">
        <is>
          <t>-</t>
        </is>
      </c>
      <c r="I155" s="39" t="n">
        <v>2</v>
      </c>
      <c r="J155" s="39" t="inlineStr">
        <is>
          <t>6-8</t>
        </is>
      </c>
      <c r="K155" s="39" t="inlineStr"/>
      <c r="L155" s="32" t="inlineStr"/>
      <c r="M155" s="41" t="inlineStr"/>
      <c r="N155" s="37" t="inlineStr"/>
      <c r="O155" s="8" t="inlineStr"/>
      <c r="P155" s="13" t="inlineStr"/>
      <c r="Q155" s="14" t="inlineStr">
        <is>
          <t>[ ]</t>
        </is>
      </c>
    </row>
    <row r="156" ht="22" customHeight="1">
      <c r="A156" s="28" t="n">
        <v>7</v>
      </c>
      <c r="B156" s="34" t="inlineStr">
        <is>
          <t>Intensification</t>
        </is>
      </c>
      <c r="C156" s="30" t="n">
        <v>4</v>
      </c>
      <c r="D156" s="31" t="inlineStr">
        <is>
          <t>Friday — Bench variant / upper body</t>
        </is>
      </c>
      <c r="E156" s="32" t="n">
        <v>1</v>
      </c>
      <c r="F156" s="33" t="inlineStr">
        <is>
          <t>Tempo bench</t>
        </is>
      </c>
      <c r="G156" s="34" t="inlineStr">
        <is>
          <t>Main Lift</t>
        </is>
      </c>
      <c r="H156" s="32" t="inlineStr">
        <is>
          <t>BENCH</t>
        </is>
      </c>
      <c r="I156" s="28" t="n">
        <v>3</v>
      </c>
      <c r="J156" s="28" t="inlineStr">
        <is>
          <t>3</t>
        </is>
      </c>
      <c r="K156" s="28" t="inlineStr">
        <is>
          <t>65%</t>
        </is>
      </c>
      <c r="L156" s="35">
        <f>ROUND('Setup &amp; Dashboard'!$C$8*0.65/5, 0)*5</f>
        <v/>
      </c>
      <c r="M156" s="28" t="inlineStr">
        <is>
          <t>RPE 7</t>
        </is>
      </c>
      <c r="N156" s="37" t="inlineStr"/>
      <c r="O156" s="8" t="inlineStr"/>
      <c r="P156" s="13" t="inlineStr"/>
      <c r="Q156" s="14" t="inlineStr">
        <is>
          <t>[ ]</t>
        </is>
      </c>
    </row>
    <row r="157" ht="22" customHeight="1">
      <c r="A157" s="38" t="n">
        <v>7</v>
      </c>
      <c r="B157" s="34" t="inlineStr">
        <is>
          <t>Intensification</t>
        </is>
      </c>
      <c r="C157" s="39" t="n">
        <v>4</v>
      </c>
      <c r="D157" s="40" t="inlineStr">
        <is>
          <t>Friday — Bench variant / upper body</t>
        </is>
      </c>
      <c r="E157" s="41" t="n">
        <v>2</v>
      </c>
      <c r="F157" s="40" t="inlineStr">
        <is>
          <t>Lat pulldown</t>
        </is>
      </c>
      <c r="G157" s="41" t="inlineStr">
        <is>
          <t>Accessory</t>
        </is>
      </c>
      <c r="H157" s="41" t="inlineStr">
        <is>
          <t>-</t>
        </is>
      </c>
      <c r="I157" s="39" t="n">
        <v>3</v>
      </c>
      <c r="J157" s="39" t="inlineStr">
        <is>
          <t>10</t>
        </is>
      </c>
      <c r="K157" s="39" t="inlineStr"/>
      <c r="L157" s="32" t="inlineStr"/>
      <c r="M157" s="41" t="inlineStr"/>
      <c r="N157" s="37" t="inlineStr"/>
      <c r="O157" s="8" t="inlineStr"/>
      <c r="P157" s="13" t="inlineStr"/>
      <c r="Q157" s="14" t="inlineStr">
        <is>
          <t>[ ]</t>
        </is>
      </c>
    </row>
    <row r="158" ht="22" customHeight="1">
      <c r="A158" s="28" t="n">
        <v>7</v>
      </c>
      <c r="B158" s="34" t="inlineStr">
        <is>
          <t>Intensification</t>
        </is>
      </c>
      <c r="C158" s="30" t="n">
        <v>4</v>
      </c>
      <c r="D158" s="31" t="inlineStr">
        <is>
          <t>Friday — Bench variant / upper body</t>
        </is>
      </c>
      <c r="E158" s="32" t="n">
        <v>3</v>
      </c>
      <c r="F158" s="31" t="inlineStr">
        <is>
          <t>Lateral raise</t>
        </is>
      </c>
      <c r="G158" s="32" t="inlineStr">
        <is>
          <t>Accessory</t>
        </is>
      </c>
      <c r="H158" s="32" t="inlineStr">
        <is>
          <t>-</t>
        </is>
      </c>
      <c r="I158" s="30" t="n">
        <v>3</v>
      </c>
      <c r="J158" s="30" t="inlineStr">
        <is>
          <t>15</t>
        </is>
      </c>
      <c r="K158" s="30" t="inlineStr"/>
      <c r="L158" s="32" t="inlineStr"/>
      <c r="M158" s="32" t="inlineStr"/>
      <c r="N158" s="37" t="inlineStr"/>
      <c r="O158" s="8" t="inlineStr"/>
      <c r="P158" s="13" t="inlineStr"/>
      <c r="Q158" s="14" t="inlineStr">
        <is>
          <t>[ ]</t>
        </is>
      </c>
    </row>
    <row r="159" ht="22" customHeight="1">
      <c r="A159" s="38" t="n">
        <v>7</v>
      </c>
      <c r="B159" s="34" t="inlineStr">
        <is>
          <t>Intensification</t>
        </is>
      </c>
      <c r="C159" s="39" t="n">
        <v>4</v>
      </c>
      <c r="D159" s="40" t="inlineStr">
        <is>
          <t>Friday — Bench variant / upper body</t>
        </is>
      </c>
      <c r="E159" s="41" t="n">
        <v>4</v>
      </c>
      <c r="F159" s="40" t="inlineStr">
        <is>
          <t>Curl</t>
        </is>
      </c>
      <c r="G159" s="41" t="inlineStr">
        <is>
          <t>Accessory</t>
        </is>
      </c>
      <c r="H159" s="41" t="inlineStr">
        <is>
          <t>-</t>
        </is>
      </c>
      <c r="I159" s="39" t="n">
        <v>3</v>
      </c>
      <c r="J159" s="39" t="inlineStr">
        <is>
          <t>10</t>
        </is>
      </c>
      <c r="K159" s="39" t="inlineStr"/>
      <c r="L159" s="32" t="inlineStr"/>
      <c r="M159" s="41" t="inlineStr"/>
      <c r="N159" s="37" t="inlineStr"/>
      <c r="O159" s="8" t="inlineStr"/>
      <c r="P159" s="13" t="inlineStr"/>
      <c r="Q159" s="14" t="inlineStr">
        <is>
          <t>[ ]</t>
        </is>
      </c>
    </row>
    <row r="160" ht="22" customHeight="1">
      <c r="A160" s="28" t="n">
        <v>7</v>
      </c>
      <c r="B160" s="34" t="inlineStr">
        <is>
          <t>Intensification</t>
        </is>
      </c>
      <c r="C160" s="30" t="n">
        <v>4</v>
      </c>
      <c r="D160" s="31" t="inlineStr">
        <is>
          <t>Friday — Bench variant / upper body</t>
        </is>
      </c>
      <c r="E160" s="32" t="n">
        <v>5</v>
      </c>
      <c r="F160" s="31" t="inlineStr">
        <is>
          <t>Pallof press</t>
        </is>
      </c>
      <c r="G160" s="32" t="inlineStr">
        <is>
          <t>Accessory</t>
        </is>
      </c>
      <c r="H160" s="32" t="inlineStr">
        <is>
          <t>-</t>
        </is>
      </c>
      <c r="I160" s="30" t="n">
        <v>3</v>
      </c>
      <c r="J160" s="30" t="inlineStr">
        <is>
          <t>10/side</t>
        </is>
      </c>
      <c r="K160" s="30" t="inlineStr"/>
      <c r="L160" s="32" t="inlineStr"/>
      <c r="M160" s="32" t="inlineStr"/>
      <c r="N160" s="37" t="inlineStr"/>
      <c r="O160" s="8" t="inlineStr"/>
      <c r="P160" s="13" t="inlineStr"/>
      <c r="Q160" s="14" t="inlineStr">
        <is>
          <t>[ ]</t>
        </is>
      </c>
    </row>
    <row r="161" ht="22" customHeight="1">
      <c r="A161" s="28" t="n">
        <v>7</v>
      </c>
      <c r="B161" s="34" t="inlineStr">
        <is>
          <t>Intensification</t>
        </is>
      </c>
      <c r="C161" s="30" t="n">
        <v>5</v>
      </c>
      <c r="D161" s="31" t="inlineStr">
        <is>
          <t>Saturday — Squat variant + Bent-over row</t>
        </is>
      </c>
      <c r="E161" s="32" t="n">
        <v>1</v>
      </c>
      <c r="F161" s="33" t="inlineStr">
        <is>
          <t>High-bar squat</t>
        </is>
      </c>
      <c r="G161" s="34" t="inlineStr">
        <is>
          <t>Main Lift</t>
        </is>
      </c>
      <c r="H161" s="32" t="inlineStr">
        <is>
          <t>SQUAT</t>
        </is>
      </c>
      <c r="I161" s="28" t="n">
        <v>3</v>
      </c>
      <c r="J161" s="28" t="inlineStr">
        <is>
          <t>3</t>
        </is>
      </c>
      <c r="K161" s="28" t="inlineStr">
        <is>
          <t>75%</t>
        </is>
      </c>
      <c r="L161" s="35">
        <f>ROUND('Setup &amp; Dashboard'!$C$7*0.75/5, 0)*5</f>
        <v/>
      </c>
      <c r="M161" s="28" t="inlineStr">
        <is>
          <t>RPE ≤8</t>
        </is>
      </c>
      <c r="N161" s="36" t="inlineStr">
        <is>
          <t>Clean reps; no grinding</t>
        </is>
      </c>
      <c r="O161" s="8" t="inlineStr"/>
      <c r="P161" s="13" t="inlineStr"/>
      <c r="Q161" s="14" t="inlineStr">
        <is>
          <t>[ ]</t>
        </is>
      </c>
    </row>
    <row r="162" ht="22" customHeight="1">
      <c r="A162" s="28" t="n">
        <v>7</v>
      </c>
      <c r="B162" s="34" t="inlineStr">
        <is>
          <t>Intensification</t>
        </is>
      </c>
      <c r="C162" s="30" t="n">
        <v>5</v>
      </c>
      <c r="D162" s="31" t="inlineStr">
        <is>
          <t>Saturday — Squat variant + Bent-over row</t>
        </is>
      </c>
      <c r="E162" s="32" t="n">
        <v>2</v>
      </c>
      <c r="F162" s="31" t="inlineStr">
        <is>
          <t>Bent-over row</t>
        </is>
      </c>
      <c r="G162" s="32" t="inlineStr">
        <is>
          <t>Accessory</t>
        </is>
      </c>
      <c r="H162" s="32" t="inlineStr">
        <is>
          <t>ROW</t>
        </is>
      </c>
      <c r="I162" s="30" t="n">
        <v>4</v>
      </c>
      <c r="J162" s="30" t="inlineStr">
        <is>
          <t>4-6</t>
        </is>
      </c>
      <c r="K162" s="30" t="inlineStr">
        <is>
          <t>Linear +5lb</t>
        </is>
      </c>
      <c r="L162" s="35">
        <f>'Setup &amp; Dashboard'!$C$10+(7-1)*5</f>
        <v/>
      </c>
      <c r="M162" s="32" t="inlineStr"/>
      <c r="N162" s="36" t="inlineStr">
        <is>
          <t>4 strict sets. Add 5 lb next exposure only when every set is clean and ≤RPE 8; deload load/reps, no failure.</t>
        </is>
      </c>
      <c r="O162" s="8" t="inlineStr"/>
      <c r="P162" s="13" t="inlineStr"/>
      <c r="Q162" s="14" t="inlineStr">
        <is>
          <t>[ ]</t>
        </is>
      </c>
    </row>
    <row r="163" ht="22" customHeight="1">
      <c r="A163" s="38" t="n">
        <v>7</v>
      </c>
      <c r="B163" s="34" t="inlineStr">
        <is>
          <t>Intensification</t>
        </is>
      </c>
      <c r="C163" s="39" t="n">
        <v>5</v>
      </c>
      <c r="D163" s="40" t="inlineStr">
        <is>
          <t>Saturday — Squat variant + Bent-over row</t>
        </is>
      </c>
      <c r="E163" s="41" t="n">
        <v>3</v>
      </c>
      <c r="F163" s="40" t="inlineStr">
        <is>
          <t>Reverse hyper</t>
        </is>
      </c>
      <c r="G163" s="41" t="inlineStr">
        <is>
          <t>Accessory</t>
        </is>
      </c>
      <c r="H163" s="41" t="inlineStr">
        <is>
          <t>-</t>
        </is>
      </c>
      <c r="I163" s="39" t="n">
        <v>2</v>
      </c>
      <c r="J163" s="39" t="inlineStr">
        <is>
          <t>10-12</t>
        </is>
      </c>
      <c r="K163" s="39" t="inlineStr"/>
      <c r="L163" s="32" t="inlineStr"/>
      <c r="M163" s="41" t="inlineStr"/>
      <c r="N163" s="37" t="inlineStr"/>
      <c r="O163" s="8" t="inlineStr"/>
      <c r="P163" s="13" t="inlineStr"/>
      <c r="Q163" s="14" t="inlineStr">
        <is>
          <t>[ ]</t>
        </is>
      </c>
    </row>
    <row r="164" ht="22" customHeight="1">
      <c r="A164" s="28" t="n">
        <v>7</v>
      </c>
      <c r="B164" s="34" t="inlineStr">
        <is>
          <t>Intensification</t>
        </is>
      </c>
      <c r="C164" s="30" t="n">
        <v>5</v>
      </c>
      <c r="D164" s="31" t="inlineStr">
        <is>
          <t>Saturday — Squat variant + Bent-over row</t>
        </is>
      </c>
      <c r="E164" s="32" t="n">
        <v>4</v>
      </c>
      <c r="F164" s="31" t="inlineStr">
        <is>
          <t>GHR or Nordic curl</t>
        </is>
      </c>
      <c r="G164" s="32" t="inlineStr">
        <is>
          <t>Accessory</t>
        </is>
      </c>
      <c r="H164" s="32" t="inlineStr">
        <is>
          <t>-</t>
        </is>
      </c>
      <c r="I164" s="30" t="n">
        <v>3</v>
      </c>
      <c r="J164" s="30" t="inlineStr">
        <is>
          <t>8</t>
        </is>
      </c>
      <c r="K164" s="30" t="inlineStr"/>
      <c r="L164" s="32" t="inlineStr"/>
      <c r="M164" s="32" t="inlineStr"/>
      <c r="N164" s="37" t="inlineStr"/>
      <c r="O164" s="8" t="inlineStr"/>
      <c r="P164" s="13" t="inlineStr"/>
      <c r="Q164" s="14" t="inlineStr">
        <is>
          <t>[ ]</t>
        </is>
      </c>
    </row>
    <row r="165" ht="22" customHeight="1">
      <c r="A165" s="28" t="n">
        <v>8</v>
      </c>
      <c r="B165" s="34" t="inlineStr">
        <is>
          <t>Intensification</t>
        </is>
      </c>
      <c r="C165" s="30" t="n">
        <v>1</v>
      </c>
      <c r="D165" s="31" t="inlineStr">
        <is>
          <t>Monday — Squat</t>
        </is>
      </c>
      <c r="E165" s="32" t="n">
        <v>1</v>
      </c>
      <c r="F165" s="33" t="inlineStr">
        <is>
          <t>Squat — top single</t>
        </is>
      </c>
      <c r="G165" s="34" t="inlineStr">
        <is>
          <t>Main Lift</t>
        </is>
      </c>
      <c r="H165" s="32" t="inlineStr">
        <is>
          <t>SQUAT</t>
        </is>
      </c>
      <c r="I165" s="28" t="n">
        <v>1</v>
      </c>
      <c r="J165" s="28" t="inlineStr">
        <is>
          <t>1</t>
        </is>
      </c>
      <c r="K165" s="28" t="inlineStr">
        <is>
          <t>92%</t>
        </is>
      </c>
      <c r="L165" s="35">
        <f>ROUND('Setup &amp; Dashboard'!$C$7*0.92/5, 0)*5</f>
        <v/>
      </c>
      <c r="M165" s="28" t="inlineStr">
        <is>
          <t>RPE 8 cap</t>
        </is>
      </c>
      <c r="N165" s="36" t="inlineStr">
        <is>
          <t>Smooth single, no grind</t>
        </is>
      </c>
      <c r="O165" s="8" t="inlineStr"/>
      <c r="P165" s="13" t="inlineStr"/>
      <c r="Q165" s="14" t="inlineStr">
        <is>
          <t>[ ]</t>
        </is>
      </c>
    </row>
    <row r="166" ht="22" customHeight="1">
      <c r="A166" s="28" t="n">
        <v>8</v>
      </c>
      <c r="B166" s="34" t="inlineStr">
        <is>
          <t>Intensification</t>
        </is>
      </c>
      <c r="C166" s="30" t="n">
        <v>1</v>
      </c>
      <c r="D166" s="31" t="inlineStr">
        <is>
          <t>Monday — Squat</t>
        </is>
      </c>
      <c r="E166" s="32" t="n">
        <v>2</v>
      </c>
      <c r="F166" s="33" t="inlineStr">
        <is>
          <t>Squat — back-off</t>
        </is>
      </c>
      <c r="G166" s="34" t="inlineStr">
        <is>
          <t>Main Lift</t>
        </is>
      </c>
      <c r="H166" s="32" t="inlineStr">
        <is>
          <t>SQUAT</t>
        </is>
      </c>
      <c r="I166" s="28" t="n">
        <v>3</v>
      </c>
      <c r="J166" s="28" t="inlineStr">
        <is>
          <t>2</t>
        </is>
      </c>
      <c r="K166" s="28" t="inlineStr">
        <is>
          <t>87%</t>
        </is>
      </c>
      <c r="L166" s="35">
        <f>ROUND('Setup &amp; Dashboard'!$C$7*0.87/5, 0)*5</f>
        <v/>
      </c>
      <c r="M166" s="28" t="inlineStr">
        <is>
          <t>RPE 8 cap</t>
        </is>
      </c>
      <c r="N166" s="37" t="inlineStr"/>
      <c r="O166" s="8" t="inlineStr"/>
      <c r="P166" s="13" t="inlineStr"/>
      <c r="Q166" s="14" t="inlineStr">
        <is>
          <t>[ ]</t>
        </is>
      </c>
    </row>
    <row r="167" ht="22" customHeight="1">
      <c r="A167" s="38" t="n">
        <v>8</v>
      </c>
      <c r="B167" s="34" t="inlineStr">
        <is>
          <t>Intensification</t>
        </is>
      </c>
      <c r="C167" s="39" t="n">
        <v>1</v>
      </c>
      <c r="D167" s="40" t="inlineStr">
        <is>
          <t>Monday — Squat</t>
        </is>
      </c>
      <c r="E167" s="41" t="n">
        <v>3</v>
      </c>
      <c r="F167" s="40" t="inlineStr">
        <is>
          <t>Split squat</t>
        </is>
      </c>
      <c r="G167" s="41" t="inlineStr">
        <is>
          <t>Accessory</t>
        </is>
      </c>
      <c r="H167" s="41" t="inlineStr">
        <is>
          <t>-</t>
        </is>
      </c>
      <c r="I167" s="39" t="n">
        <v>2</v>
      </c>
      <c r="J167" s="39" t="inlineStr">
        <is>
          <t>8/leg</t>
        </is>
      </c>
      <c r="K167" s="39" t="inlineStr"/>
      <c r="L167" s="32" t="inlineStr"/>
      <c r="M167" s="41" t="inlineStr"/>
      <c r="N167" s="37" t="inlineStr"/>
      <c r="O167" s="8" t="inlineStr"/>
      <c r="P167" s="13" t="inlineStr"/>
      <c r="Q167" s="14" t="inlineStr">
        <is>
          <t>[ ]</t>
        </is>
      </c>
    </row>
    <row r="168" ht="22" customHeight="1">
      <c r="A168" s="28" t="n">
        <v>8</v>
      </c>
      <c r="B168" s="34" t="inlineStr">
        <is>
          <t>Intensification</t>
        </is>
      </c>
      <c r="C168" s="30" t="n">
        <v>1</v>
      </c>
      <c r="D168" s="31" t="inlineStr">
        <is>
          <t>Monday — Squat</t>
        </is>
      </c>
      <c r="E168" s="32" t="n">
        <v>4</v>
      </c>
      <c r="F168" s="31" t="inlineStr">
        <is>
          <t>Leg curl</t>
        </is>
      </c>
      <c r="G168" s="32" t="inlineStr">
        <is>
          <t>Accessory</t>
        </is>
      </c>
      <c r="H168" s="32" t="inlineStr">
        <is>
          <t>-</t>
        </is>
      </c>
      <c r="I168" s="30" t="n">
        <v>2</v>
      </c>
      <c r="J168" s="30" t="inlineStr">
        <is>
          <t>10</t>
        </is>
      </c>
      <c r="K168" s="30" t="inlineStr"/>
      <c r="L168" s="32" t="inlineStr"/>
      <c r="M168" s="32" t="inlineStr"/>
      <c r="N168" s="37" t="inlineStr"/>
      <c r="O168" s="8" t="inlineStr"/>
      <c r="P168" s="13" t="inlineStr"/>
      <c r="Q168" s="14" t="inlineStr">
        <is>
          <t>[ ]</t>
        </is>
      </c>
    </row>
    <row r="169" ht="22" customHeight="1">
      <c r="A169" s="38" t="n">
        <v>8</v>
      </c>
      <c r="B169" s="34" t="inlineStr">
        <is>
          <t>Intensification</t>
        </is>
      </c>
      <c r="C169" s="39" t="n">
        <v>1</v>
      </c>
      <c r="D169" s="40" t="inlineStr">
        <is>
          <t>Monday — Squat</t>
        </is>
      </c>
      <c r="E169" s="41" t="n">
        <v>5</v>
      </c>
      <c r="F169" s="40" t="inlineStr">
        <is>
          <t>Copenhagen plank</t>
        </is>
      </c>
      <c r="G169" s="41" t="inlineStr">
        <is>
          <t>Accessory</t>
        </is>
      </c>
      <c r="H169" s="41" t="inlineStr">
        <is>
          <t>-</t>
        </is>
      </c>
      <c r="I169" s="39" t="n">
        <v>3</v>
      </c>
      <c r="J169" s="39" t="inlineStr">
        <is>
          <t>15-20sec/side</t>
        </is>
      </c>
      <c r="K169" s="39" t="inlineStr"/>
      <c r="L169" s="32" t="inlineStr"/>
      <c r="M169" s="41" t="inlineStr"/>
      <c r="N169" s="37" t="inlineStr"/>
      <c r="O169" s="8" t="inlineStr"/>
      <c r="P169" s="13" t="inlineStr"/>
      <c r="Q169" s="14" t="inlineStr">
        <is>
          <t>[ ]</t>
        </is>
      </c>
    </row>
    <row r="170" ht="22" customHeight="1">
      <c r="A170" s="28" t="n">
        <v>8</v>
      </c>
      <c r="B170" s="34" t="inlineStr">
        <is>
          <t>Intensification</t>
        </is>
      </c>
      <c r="C170" s="30" t="n">
        <v>2</v>
      </c>
      <c r="D170" s="31" t="inlineStr">
        <is>
          <t>Tuesday — Bench</t>
        </is>
      </c>
      <c r="E170" s="32" t="n">
        <v>1</v>
      </c>
      <c r="F170" s="33" t="inlineStr">
        <is>
          <t>Bench</t>
        </is>
      </c>
      <c r="G170" s="34" t="inlineStr">
        <is>
          <t>Main Lift</t>
        </is>
      </c>
      <c r="H170" s="32" t="inlineStr">
        <is>
          <t>BENCH</t>
        </is>
      </c>
      <c r="I170" s="28" t="n">
        <v>7</v>
      </c>
      <c r="J170" s="28" t="inlineStr">
        <is>
          <t>2</t>
        </is>
      </c>
      <c r="K170" s="28" t="inlineStr">
        <is>
          <t>90%</t>
        </is>
      </c>
      <c r="L170" s="35">
        <f>ROUND('Setup &amp; Dashboard'!$C$8*0.9/5, 0)*5</f>
        <v/>
      </c>
      <c r="M170" s="28" t="inlineStr">
        <is>
          <t>RPE 8-9</t>
        </is>
      </c>
      <c r="N170" s="37" t="inlineStr"/>
      <c r="O170" s="8" t="inlineStr"/>
      <c r="P170" s="13" t="inlineStr"/>
      <c r="Q170" s="14" t="inlineStr">
        <is>
          <t>[ ]</t>
        </is>
      </c>
    </row>
    <row r="171" ht="22" customHeight="1">
      <c r="A171" s="38" t="n">
        <v>8</v>
      </c>
      <c r="B171" s="34" t="inlineStr">
        <is>
          <t>Intensification</t>
        </is>
      </c>
      <c r="C171" s="39" t="n">
        <v>2</v>
      </c>
      <c r="D171" s="40" t="inlineStr">
        <is>
          <t>Tuesday — Bench</t>
        </is>
      </c>
      <c r="E171" s="41" t="n">
        <v>2</v>
      </c>
      <c r="F171" s="40" t="inlineStr">
        <is>
          <t>Close-grip bench</t>
        </is>
      </c>
      <c r="G171" s="41" t="inlineStr">
        <is>
          <t>Accessory</t>
        </is>
      </c>
      <c r="H171" s="41" t="inlineStr">
        <is>
          <t>-</t>
        </is>
      </c>
      <c r="I171" s="39" t="n">
        <v>3</v>
      </c>
      <c r="J171" s="39" t="inlineStr">
        <is>
          <t>4</t>
        </is>
      </c>
      <c r="K171" s="39" t="inlineStr"/>
      <c r="L171" s="32" t="inlineStr"/>
      <c r="M171" s="41" t="inlineStr"/>
      <c r="N171" s="37" t="inlineStr"/>
      <c r="O171" s="8" t="inlineStr"/>
      <c r="P171" s="13" t="inlineStr"/>
      <c r="Q171" s="14" t="inlineStr">
        <is>
          <t>[ ]</t>
        </is>
      </c>
    </row>
    <row r="172" ht="22" customHeight="1">
      <c r="A172" s="28" t="n">
        <v>8</v>
      </c>
      <c r="B172" s="34" t="inlineStr">
        <is>
          <t>Intensification</t>
        </is>
      </c>
      <c r="C172" s="30" t="n">
        <v>2</v>
      </c>
      <c r="D172" s="31" t="inlineStr">
        <is>
          <t>Tuesday — Bench</t>
        </is>
      </c>
      <c r="E172" s="32" t="n">
        <v>3</v>
      </c>
      <c r="F172" s="31" t="inlineStr">
        <is>
          <t>Incline DB press</t>
        </is>
      </c>
      <c r="G172" s="32" t="inlineStr">
        <is>
          <t>Accessory</t>
        </is>
      </c>
      <c r="H172" s="32" t="inlineStr">
        <is>
          <t>-</t>
        </is>
      </c>
      <c r="I172" s="30" t="n">
        <v>2</v>
      </c>
      <c r="J172" s="30" t="inlineStr">
        <is>
          <t>8</t>
        </is>
      </c>
      <c r="K172" s="30" t="inlineStr"/>
      <c r="L172" s="32" t="inlineStr"/>
      <c r="M172" s="32" t="inlineStr"/>
      <c r="N172" s="37" t="inlineStr"/>
      <c r="O172" s="8" t="inlineStr"/>
      <c r="P172" s="13" t="inlineStr"/>
      <c r="Q172" s="14" t="inlineStr">
        <is>
          <t>[ ]</t>
        </is>
      </c>
    </row>
    <row r="173" ht="22" customHeight="1">
      <c r="A173" s="38" t="n">
        <v>8</v>
      </c>
      <c r="B173" s="34" t="inlineStr">
        <is>
          <t>Intensification</t>
        </is>
      </c>
      <c r="C173" s="39" t="n">
        <v>2</v>
      </c>
      <c r="D173" s="40" t="inlineStr">
        <is>
          <t>Tuesday — Bench</t>
        </is>
      </c>
      <c r="E173" s="41" t="n">
        <v>4</v>
      </c>
      <c r="F173" s="40" t="inlineStr">
        <is>
          <t>Triceps pressdown</t>
        </is>
      </c>
      <c r="G173" s="41" t="inlineStr">
        <is>
          <t>Accessory</t>
        </is>
      </c>
      <c r="H173" s="41" t="inlineStr">
        <is>
          <t>-</t>
        </is>
      </c>
      <c r="I173" s="39" t="n">
        <v>2</v>
      </c>
      <c r="J173" s="39" t="inlineStr">
        <is>
          <t>12</t>
        </is>
      </c>
      <c r="K173" s="39" t="inlineStr"/>
      <c r="L173" s="32" t="inlineStr"/>
      <c r="M173" s="41" t="inlineStr"/>
      <c r="N173" s="37" t="inlineStr"/>
      <c r="O173" s="8" t="inlineStr"/>
      <c r="P173" s="13" t="inlineStr"/>
      <c r="Q173" s="14" t="inlineStr">
        <is>
          <t>[ ]</t>
        </is>
      </c>
    </row>
    <row r="174" ht="22" customHeight="1">
      <c r="A174" s="28" t="n">
        <v>8</v>
      </c>
      <c r="B174" s="34" t="inlineStr">
        <is>
          <t>Intensification</t>
        </is>
      </c>
      <c r="C174" s="30" t="n">
        <v>2</v>
      </c>
      <c r="D174" s="31" t="inlineStr">
        <is>
          <t>Tuesday — Bench</t>
        </is>
      </c>
      <c r="E174" s="32" t="n">
        <v>5</v>
      </c>
      <c r="F174" s="31" t="inlineStr">
        <is>
          <t>Face pull</t>
        </is>
      </c>
      <c r="G174" s="32" t="inlineStr">
        <is>
          <t>Accessory</t>
        </is>
      </c>
      <c r="H174" s="32" t="inlineStr">
        <is>
          <t>-</t>
        </is>
      </c>
      <c r="I174" s="30" t="n">
        <v>2</v>
      </c>
      <c r="J174" s="30" t="inlineStr">
        <is>
          <t>15</t>
        </is>
      </c>
      <c r="K174" s="30" t="inlineStr"/>
      <c r="L174" s="32" t="inlineStr"/>
      <c r="M174" s="32" t="inlineStr"/>
      <c r="N174" s="37" t="inlineStr"/>
      <c r="O174" s="8" t="inlineStr"/>
      <c r="P174" s="13" t="inlineStr"/>
      <c r="Q174" s="14" t="inlineStr">
        <is>
          <t>[ ]</t>
        </is>
      </c>
    </row>
    <row r="175" ht="22" customHeight="1">
      <c r="A175" s="28" t="n">
        <v>8</v>
      </c>
      <c r="B175" s="34" t="inlineStr">
        <is>
          <t>Intensification</t>
        </is>
      </c>
      <c r="C175" s="30" t="n">
        <v>3</v>
      </c>
      <c r="D175" s="31" t="inlineStr">
        <is>
          <t>Thursday — Deadlift</t>
        </is>
      </c>
      <c r="E175" s="32" t="n">
        <v>1</v>
      </c>
      <c r="F175" s="33" t="inlineStr">
        <is>
          <t>Deadlift</t>
        </is>
      </c>
      <c r="G175" s="34" t="inlineStr">
        <is>
          <t>Main Lift</t>
        </is>
      </c>
      <c r="H175" s="32" t="inlineStr">
        <is>
          <t>DEADLIFT</t>
        </is>
      </c>
      <c r="I175" s="28" t="n">
        <v>3</v>
      </c>
      <c r="J175" s="28" t="inlineStr">
        <is>
          <t>2</t>
        </is>
      </c>
      <c r="K175" s="28" t="inlineStr">
        <is>
          <t>89%</t>
        </is>
      </c>
      <c r="L175" s="35">
        <f>ROUND('Setup &amp; Dashboard'!$C$9*0.89/5, 0)*5</f>
        <v/>
      </c>
      <c r="M175" s="28" t="inlineStr">
        <is>
          <t>RPE 8-9</t>
        </is>
      </c>
      <c r="N175" s="37" t="inlineStr"/>
      <c r="O175" s="8" t="inlineStr"/>
      <c r="P175" s="13" t="inlineStr"/>
      <c r="Q175" s="14" t="inlineStr">
        <is>
          <t>[ ]</t>
        </is>
      </c>
    </row>
    <row r="176" ht="22" customHeight="1">
      <c r="A176" s="28" t="n">
        <v>8</v>
      </c>
      <c r="B176" s="34" t="inlineStr">
        <is>
          <t>Intensification</t>
        </is>
      </c>
      <c r="C176" s="30" t="n">
        <v>3</v>
      </c>
      <c r="D176" s="31" t="inlineStr">
        <is>
          <t>Thursday — Deadlift</t>
        </is>
      </c>
      <c r="E176" s="32" t="n">
        <v>2</v>
      </c>
      <c r="F176" s="33" t="inlineStr">
        <is>
          <t>1.5-rep deadlift (knee height)</t>
        </is>
      </c>
      <c r="G176" s="34" t="inlineStr">
        <is>
          <t>Main Lift</t>
        </is>
      </c>
      <c r="H176" s="32" t="inlineStr">
        <is>
          <t>DEADLIFT</t>
        </is>
      </c>
      <c r="I176" s="28" t="n">
        <v>3</v>
      </c>
      <c r="J176" s="28" t="inlineStr">
        <is>
          <t>3</t>
        </is>
      </c>
      <c r="K176" s="28" t="inlineStr">
        <is>
          <t>60% + 35 lb</t>
        </is>
      </c>
      <c r="L176" s="35">
        <f>ROUND('Setup &amp; Dashboard'!$C$9*0.6/5, 0)*5+35</f>
        <v/>
      </c>
      <c r="M176" s="32" t="inlineStr"/>
      <c r="N176" s="36" t="inlineStr">
        <is>
          <t>Reset every rep; lower to just below knee, return to lockout, then lower fully. W1 60% DL max; add +5 lb/week only if clean and ≤RPE 7. Deload: 2x3 @55% max.</t>
        </is>
      </c>
      <c r="O176" s="8" t="inlineStr"/>
      <c r="P176" s="13" t="inlineStr"/>
      <c r="Q176" s="14" t="inlineStr">
        <is>
          <t>[ ]</t>
        </is>
      </c>
    </row>
    <row r="177" ht="22" customHeight="1">
      <c r="A177" s="38" t="n">
        <v>8</v>
      </c>
      <c r="B177" s="34" t="inlineStr">
        <is>
          <t>Intensification</t>
        </is>
      </c>
      <c r="C177" s="39" t="n">
        <v>3</v>
      </c>
      <c r="D177" s="40" t="inlineStr">
        <is>
          <t>Thursday — Deadlift</t>
        </is>
      </c>
      <c r="E177" s="41" t="n">
        <v>3</v>
      </c>
      <c r="F177" s="40" t="inlineStr">
        <is>
          <t>Reverse hyper</t>
        </is>
      </c>
      <c r="G177" s="41" t="inlineStr">
        <is>
          <t>Accessory</t>
        </is>
      </c>
      <c r="H177" s="41" t="inlineStr">
        <is>
          <t>-</t>
        </is>
      </c>
      <c r="I177" s="39" t="n">
        <v>2</v>
      </c>
      <c r="J177" s="39" t="inlineStr">
        <is>
          <t>10</t>
        </is>
      </c>
      <c r="K177" s="39" t="inlineStr"/>
      <c r="L177" s="32" t="inlineStr"/>
      <c r="M177" s="41" t="inlineStr"/>
      <c r="N177" s="37" t="inlineStr"/>
      <c r="O177" s="8" t="inlineStr"/>
      <c r="P177" s="13" t="inlineStr"/>
      <c r="Q177" s="14" t="inlineStr">
        <is>
          <t>[ ]</t>
        </is>
      </c>
    </row>
    <row r="178" ht="22" customHeight="1">
      <c r="A178" s="28" t="n">
        <v>8</v>
      </c>
      <c r="B178" s="34" t="inlineStr">
        <is>
          <t>Intensification</t>
        </is>
      </c>
      <c r="C178" s="30" t="n">
        <v>3</v>
      </c>
      <c r="D178" s="31" t="inlineStr">
        <is>
          <t>Thursday — Deadlift</t>
        </is>
      </c>
      <c r="E178" s="32" t="n">
        <v>4</v>
      </c>
      <c r="F178" s="31" t="inlineStr">
        <is>
          <t>Jefferson curl</t>
        </is>
      </c>
      <c r="G178" s="32" t="inlineStr">
        <is>
          <t>Accessory</t>
        </is>
      </c>
      <c r="H178" s="32" t="inlineStr">
        <is>
          <t>-</t>
        </is>
      </c>
      <c r="I178" s="30" t="n">
        <v>2</v>
      </c>
      <c r="J178" s="30" t="inlineStr">
        <is>
          <t>6</t>
        </is>
      </c>
      <c r="K178" s="30" t="inlineStr"/>
      <c r="L178" s="32" t="inlineStr"/>
      <c r="M178" s="32" t="inlineStr"/>
      <c r="N178" s="37" t="inlineStr"/>
      <c r="O178" s="8" t="inlineStr"/>
      <c r="P178" s="13" t="inlineStr"/>
      <c r="Q178" s="14" t="inlineStr">
        <is>
          <t>[ ]</t>
        </is>
      </c>
    </row>
    <row r="179" ht="22" customHeight="1">
      <c r="A179" s="28" t="n">
        <v>8</v>
      </c>
      <c r="B179" s="34" t="inlineStr">
        <is>
          <t>Intensification</t>
        </is>
      </c>
      <c r="C179" s="30" t="n">
        <v>4</v>
      </c>
      <c r="D179" s="31" t="inlineStr">
        <is>
          <t>Friday — Bench variant / upper body</t>
        </is>
      </c>
      <c r="E179" s="32" t="n">
        <v>1</v>
      </c>
      <c r="F179" s="33" t="inlineStr">
        <is>
          <t>Paused bench</t>
        </is>
      </c>
      <c r="G179" s="34" t="inlineStr">
        <is>
          <t>Main Lift</t>
        </is>
      </c>
      <c r="H179" s="32" t="inlineStr">
        <is>
          <t>BENCH</t>
        </is>
      </c>
      <c r="I179" s="28" t="n">
        <v>3</v>
      </c>
      <c r="J179" s="28" t="inlineStr">
        <is>
          <t>2</t>
        </is>
      </c>
      <c r="K179" s="28" t="inlineStr">
        <is>
          <t>70%</t>
        </is>
      </c>
      <c r="L179" s="35">
        <f>ROUND('Setup &amp; Dashboard'!$C$8*0.7/5, 0)*5</f>
        <v/>
      </c>
      <c r="M179" s="28" t="inlineStr">
        <is>
          <t>RPE 7</t>
        </is>
      </c>
      <c r="N179" s="37" t="inlineStr"/>
      <c r="O179" s="8" t="inlineStr"/>
      <c r="P179" s="13" t="inlineStr"/>
      <c r="Q179" s="14" t="inlineStr">
        <is>
          <t>[ ]</t>
        </is>
      </c>
    </row>
    <row r="180" ht="22" customHeight="1">
      <c r="A180" s="28" t="n">
        <v>8</v>
      </c>
      <c r="B180" s="34" t="inlineStr">
        <is>
          <t>Intensification</t>
        </is>
      </c>
      <c r="C180" s="30" t="n">
        <v>4</v>
      </c>
      <c r="D180" s="31" t="inlineStr">
        <is>
          <t>Friday — Bench variant / upper body</t>
        </is>
      </c>
      <c r="E180" s="32" t="n">
        <v>2</v>
      </c>
      <c r="F180" s="31" t="inlineStr">
        <is>
          <t>Lat pulldown</t>
        </is>
      </c>
      <c r="G180" s="32" t="inlineStr">
        <is>
          <t>Accessory</t>
        </is>
      </c>
      <c r="H180" s="32" t="inlineStr">
        <is>
          <t>-</t>
        </is>
      </c>
      <c r="I180" s="30" t="n">
        <v>3</v>
      </c>
      <c r="J180" s="30" t="inlineStr">
        <is>
          <t>10</t>
        </is>
      </c>
      <c r="K180" s="30" t="inlineStr"/>
      <c r="L180" s="32" t="inlineStr"/>
      <c r="M180" s="32" t="inlineStr"/>
      <c r="N180" s="37" t="inlineStr"/>
      <c r="O180" s="8" t="inlineStr"/>
      <c r="P180" s="13" t="inlineStr"/>
      <c r="Q180" s="14" t="inlineStr">
        <is>
          <t>[ ]</t>
        </is>
      </c>
    </row>
    <row r="181" ht="22" customHeight="1">
      <c r="A181" s="38" t="n">
        <v>8</v>
      </c>
      <c r="B181" s="34" t="inlineStr">
        <is>
          <t>Intensification</t>
        </is>
      </c>
      <c r="C181" s="39" t="n">
        <v>4</v>
      </c>
      <c r="D181" s="40" t="inlineStr">
        <is>
          <t>Friday — Bench variant / upper body</t>
        </is>
      </c>
      <c r="E181" s="41" t="n">
        <v>3</v>
      </c>
      <c r="F181" s="40" t="inlineStr">
        <is>
          <t>Lateral raise</t>
        </is>
      </c>
      <c r="G181" s="41" t="inlineStr">
        <is>
          <t>Accessory</t>
        </is>
      </c>
      <c r="H181" s="41" t="inlineStr">
        <is>
          <t>-</t>
        </is>
      </c>
      <c r="I181" s="39" t="n">
        <v>3</v>
      </c>
      <c r="J181" s="39" t="inlineStr">
        <is>
          <t>15</t>
        </is>
      </c>
      <c r="K181" s="39" t="inlineStr"/>
      <c r="L181" s="32" t="inlineStr"/>
      <c r="M181" s="41" t="inlineStr"/>
      <c r="N181" s="37" t="inlineStr"/>
      <c r="O181" s="8" t="inlineStr"/>
      <c r="P181" s="13" t="inlineStr"/>
      <c r="Q181" s="14" t="inlineStr">
        <is>
          <t>[ ]</t>
        </is>
      </c>
    </row>
    <row r="182" ht="22" customHeight="1">
      <c r="A182" s="28" t="n">
        <v>8</v>
      </c>
      <c r="B182" s="34" t="inlineStr">
        <is>
          <t>Intensification</t>
        </is>
      </c>
      <c r="C182" s="30" t="n">
        <v>4</v>
      </c>
      <c r="D182" s="31" t="inlineStr">
        <is>
          <t>Friday — Bench variant / upper body</t>
        </is>
      </c>
      <c r="E182" s="32" t="n">
        <v>4</v>
      </c>
      <c r="F182" s="31" t="inlineStr">
        <is>
          <t>Curl</t>
        </is>
      </c>
      <c r="G182" s="32" t="inlineStr">
        <is>
          <t>Accessory</t>
        </is>
      </c>
      <c r="H182" s="32" t="inlineStr">
        <is>
          <t>-</t>
        </is>
      </c>
      <c r="I182" s="30" t="n">
        <v>3</v>
      </c>
      <c r="J182" s="30" t="inlineStr">
        <is>
          <t>10</t>
        </is>
      </c>
      <c r="K182" s="30" t="inlineStr"/>
      <c r="L182" s="32" t="inlineStr"/>
      <c r="M182" s="32" t="inlineStr"/>
      <c r="N182" s="37" t="inlineStr"/>
      <c r="O182" s="8" t="inlineStr"/>
      <c r="P182" s="13" t="inlineStr"/>
      <c r="Q182" s="14" t="inlineStr">
        <is>
          <t>[ ]</t>
        </is>
      </c>
    </row>
    <row r="183" ht="22" customHeight="1">
      <c r="A183" s="38" t="n">
        <v>8</v>
      </c>
      <c r="B183" s="34" t="inlineStr">
        <is>
          <t>Intensification</t>
        </is>
      </c>
      <c r="C183" s="39" t="n">
        <v>4</v>
      </c>
      <c r="D183" s="40" t="inlineStr">
        <is>
          <t>Friday — Bench variant / upper body</t>
        </is>
      </c>
      <c r="E183" s="41" t="n">
        <v>5</v>
      </c>
      <c r="F183" s="40" t="inlineStr">
        <is>
          <t>Pallof press</t>
        </is>
      </c>
      <c r="G183" s="41" t="inlineStr">
        <is>
          <t>Accessory</t>
        </is>
      </c>
      <c r="H183" s="41" t="inlineStr">
        <is>
          <t>-</t>
        </is>
      </c>
      <c r="I183" s="39" t="n">
        <v>2</v>
      </c>
      <c r="J183" s="39" t="inlineStr">
        <is>
          <t>10/side</t>
        </is>
      </c>
      <c r="K183" s="39" t="inlineStr"/>
      <c r="L183" s="32" t="inlineStr"/>
      <c r="M183" s="41" t="inlineStr"/>
      <c r="N183" s="37" t="inlineStr"/>
      <c r="O183" s="8" t="inlineStr"/>
      <c r="P183" s="13" t="inlineStr"/>
      <c r="Q183" s="14" t="inlineStr">
        <is>
          <t>[ ]</t>
        </is>
      </c>
    </row>
    <row r="184" ht="22" customHeight="1">
      <c r="A184" s="28" t="n">
        <v>8</v>
      </c>
      <c r="B184" s="34" t="inlineStr">
        <is>
          <t>Intensification</t>
        </is>
      </c>
      <c r="C184" s="30" t="n">
        <v>5</v>
      </c>
      <c r="D184" s="31" t="inlineStr">
        <is>
          <t>Saturday — Squat variant + Bent-over row</t>
        </is>
      </c>
      <c r="E184" s="32" t="n">
        <v>1</v>
      </c>
      <c r="F184" s="33" t="inlineStr">
        <is>
          <t>High-bar squat</t>
        </is>
      </c>
      <c r="G184" s="34" t="inlineStr">
        <is>
          <t>Main Lift</t>
        </is>
      </c>
      <c r="H184" s="32" t="inlineStr">
        <is>
          <t>SQUAT</t>
        </is>
      </c>
      <c r="I184" s="28" t="n">
        <v>2</v>
      </c>
      <c r="J184" s="28" t="inlineStr">
        <is>
          <t>3</t>
        </is>
      </c>
      <c r="K184" s="28" t="inlineStr">
        <is>
          <t>75% + 5 lb</t>
        </is>
      </c>
      <c r="L184" s="35">
        <f>ROUND('Setup &amp; Dashboard'!$C$7*0.75/5, 0)*5+5</f>
        <v/>
      </c>
      <c r="M184" s="28" t="inlineStr">
        <is>
          <t>RPE ≤8</t>
        </is>
      </c>
      <c r="N184" s="36" t="inlineStr">
        <is>
          <t>Clean reps; no grinding</t>
        </is>
      </c>
      <c r="O184" s="8" t="inlineStr"/>
      <c r="P184" s="13" t="inlineStr"/>
      <c r="Q184" s="14" t="inlineStr">
        <is>
          <t>[ ]</t>
        </is>
      </c>
    </row>
    <row r="185" ht="22" customHeight="1">
      <c r="A185" s="38" t="n">
        <v>8</v>
      </c>
      <c r="B185" s="34" t="inlineStr">
        <is>
          <t>Intensification</t>
        </is>
      </c>
      <c r="C185" s="39" t="n">
        <v>5</v>
      </c>
      <c r="D185" s="40" t="inlineStr">
        <is>
          <t>Saturday — Squat variant + Bent-over row</t>
        </is>
      </c>
      <c r="E185" s="41" t="n">
        <v>2</v>
      </c>
      <c r="F185" s="40" t="inlineStr">
        <is>
          <t>Bent-over row</t>
        </is>
      </c>
      <c r="G185" s="41" t="inlineStr">
        <is>
          <t>Accessory</t>
        </is>
      </c>
      <c r="H185" s="41" t="inlineStr">
        <is>
          <t>ROW</t>
        </is>
      </c>
      <c r="I185" s="39" t="n">
        <v>4</v>
      </c>
      <c r="J185" s="39" t="inlineStr">
        <is>
          <t>4-6</t>
        </is>
      </c>
      <c r="K185" s="39" t="inlineStr">
        <is>
          <t>Linear +5lb</t>
        </is>
      </c>
      <c r="L185" s="35">
        <f>'Setup &amp; Dashboard'!$C$10+(8-1)*5</f>
        <v/>
      </c>
      <c r="M185" s="41" t="inlineStr"/>
      <c r="N185" s="36" t="inlineStr">
        <is>
          <t>4 strict sets. Add 5 lb next exposure only when every set is clean and ≤RPE 8; deload load/reps, no failure.</t>
        </is>
      </c>
      <c r="O185" s="8" t="inlineStr"/>
      <c r="P185" s="13" t="inlineStr"/>
      <c r="Q185" s="14" t="inlineStr">
        <is>
          <t>[ ]</t>
        </is>
      </c>
    </row>
    <row r="186" ht="22" customHeight="1">
      <c r="A186" s="28" t="n">
        <v>8</v>
      </c>
      <c r="B186" s="34" t="inlineStr">
        <is>
          <t>Intensification</t>
        </is>
      </c>
      <c r="C186" s="30" t="n">
        <v>5</v>
      </c>
      <c r="D186" s="31" t="inlineStr">
        <is>
          <t>Saturday — Squat variant + Bent-over row</t>
        </is>
      </c>
      <c r="E186" s="32" t="n">
        <v>3</v>
      </c>
      <c r="F186" s="31" t="inlineStr">
        <is>
          <t>Reverse hyper</t>
        </is>
      </c>
      <c r="G186" s="32" t="inlineStr">
        <is>
          <t>Accessory</t>
        </is>
      </c>
      <c r="H186" s="32" t="inlineStr">
        <is>
          <t>-</t>
        </is>
      </c>
      <c r="I186" s="30" t="n">
        <v>2</v>
      </c>
      <c r="J186" s="30" t="inlineStr">
        <is>
          <t>10</t>
        </is>
      </c>
      <c r="K186" s="30" t="inlineStr"/>
      <c r="L186" s="32" t="inlineStr"/>
      <c r="M186" s="32" t="inlineStr"/>
      <c r="N186" s="37" t="inlineStr"/>
      <c r="O186" s="8" t="inlineStr"/>
      <c r="P186" s="13" t="inlineStr"/>
      <c r="Q186" s="14" t="inlineStr">
        <is>
          <t>[ ]</t>
        </is>
      </c>
    </row>
    <row r="187" ht="22" customHeight="1">
      <c r="A187" s="38" t="n">
        <v>8</v>
      </c>
      <c r="B187" s="34" t="inlineStr">
        <is>
          <t>Intensification</t>
        </is>
      </c>
      <c r="C187" s="39" t="n">
        <v>5</v>
      </c>
      <c r="D187" s="40" t="inlineStr">
        <is>
          <t>Saturday — Squat variant + Bent-over row</t>
        </is>
      </c>
      <c r="E187" s="41" t="n">
        <v>4</v>
      </c>
      <c r="F187" s="40" t="inlineStr">
        <is>
          <t>GHR or Nordic curl</t>
        </is>
      </c>
      <c r="G187" s="41" t="inlineStr">
        <is>
          <t>Accessory</t>
        </is>
      </c>
      <c r="H187" s="41" t="inlineStr">
        <is>
          <t>-</t>
        </is>
      </c>
      <c r="I187" s="39" t="n">
        <v>2</v>
      </c>
      <c r="J187" s="39" t="inlineStr">
        <is>
          <t>8</t>
        </is>
      </c>
      <c r="K187" s="39" t="inlineStr"/>
      <c r="L187" s="32" t="inlineStr"/>
      <c r="M187" s="41" t="inlineStr"/>
      <c r="N187" s="37" t="inlineStr"/>
      <c r="O187" s="8" t="inlineStr"/>
      <c r="P187" s="13" t="inlineStr"/>
      <c r="Q187" s="14" t="inlineStr">
        <is>
          <t>[ ]</t>
        </is>
      </c>
    </row>
    <row r="188" ht="22" customHeight="1">
      <c r="A188" s="28" t="n">
        <v>9</v>
      </c>
      <c r="B188" s="44" t="inlineStr">
        <is>
          <t>Top of Intensification</t>
        </is>
      </c>
      <c r="C188" s="30" t="n">
        <v>1</v>
      </c>
      <c r="D188" s="31" t="inlineStr">
        <is>
          <t>Monday — Squat</t>
        </is>
      </c>
      <c r="E188" s="32" t="n">
        <v>1</v>
      </c>
      <c r="F188" s="33" t="inlineStr">
        <is>
          <t>Squat — top single</t>
        </is>
      </c>
      <c r="G188" s="34" t="inlineStr">
        <is>
          <t>Main Lift</t>
        </is>
      </c>
      <c r="H188" s="32" t="inlineStr">
        <is>
          <t>SQUAT</t>
        </is>
      </c>
      <c r="I188" s="28" t="n">
        <v>1</v>
      </c>
      <c r="J188" s="28" t="inlineStr">
        <is>
          <t>1</t>
        </is>
      </c>
      <c r="K188" s="28" t="inlineStr">
        <is>
          <t>92%</t>
        </is>
      </c>
      <c r="L188" s="35">
        <f>ROUND('Setup &amp; Dashboard'!$C$7*0.92/5, 0)*5</f>
        <v/>
      </c>
      <c r="M188" s="28" t="inlineStr">
        <is>
          <t>RPE 8 cap</t>
        </is>
      </c>
      <c r="N188" s="36" t="inlineStr">
        <is>
          <t>Smooth single, no grind</t>
        </is>
      </c>
      <c r="O188" s="8" t="inlineStr"/>
      <c r="P188" s="13" t="inlineStr"/>
      <c r="Q188" s="14" t="inlineStr">
        <is>
          <t>[ ]</t>
        </is>
      </c>
    </row>
    <row r="189" ht="22" customHeight="1">
      <c r="A189" s="28" t="n">
        <v>9</v>
      </c>
      <c r="B189" s="44" t="inlineStr">
        <is>
          <t>Top of Intensification</t>
        </is>
      </c>
      <c r="C189" s="30" t="n">
        <v>1</v>
      </c>
      <c r="D189" s="31" t="inlineStr">
        <is>
          <t>Monday — Squat</t>
        </is>
      </c>
      <c r="E189" s="32" t="n">
        <v>2</v>
      </c>
      <c r="F189" s="33" t="inlineStr">
        <is>
          <t>Squat — back-off</t>
        </is>
      </c>
      <c r="G189" s="34" t="inlineStr">
        <is>
          <t>Main Lift</t>
        </is>
      </c>
      <c r="H189" s="32" t="inlineStr">
        <is>
          <t>SQUAT</t>
        </is>
      </c>
      <c r="I189" s="28" t="n">
        <v>2</v>
      </c>
      <c r="J189" s="28" t="inlineStr">
        <is>
          <t>2</t>
        </is>
      </c>
      <c r="K189" s="28" t="inlineStr">
        <is>
          <t>87%</t>
        </is>
      </c>
      <c r="L189" s="35">
        <f>ROUND('Setup &amp; Dashboard'!$C$7*0.87/5, 0)*5</f>
        <v/>
      </c>
      <c r="M189" s="28" t="inlineStr">
        <is>
          <t>RPE 8 cap</t>
        </is>
      </c>
      <c r="N189" s="36" t="inlineStr">
        <is>
          <t>Reduce if needed</t>
        </is>
      </c>
      <c r="O189" s="8" t="inlineStr"/>
      <c r="P189" s="13" t="inlineStr"/>
      <c r="Q189" s="14" t="inlineStr">
        <is>
          <t>[ ]</t>
        </is>
      </c>
    </row>
    <row r="190" ht="22" customHeight="1">
      <c r="A190" s="28" t="n">
        <v>9</v>
      </c>
      <c r="B190" s="44" t="inlineStr">
        <is>
          <t>Top of Intensification</t>
        </is>
      </c>
      <c r="C190" s="30" t="n">
        <v>1</v>
      </c>
      <c r="D190" s="31" t="inlineStr">
        <is>
          <t>Monday — Squat</t>
        </is>
      </c>
      <c r="E190" s="32" t="n">
        <v>3</v>
      </c>
      <c r="F190" s="31" t="inlineStr">
        <is>
          <t>Split squat</t>
        </is>
      </c>
      <c r="G190" s="32" t="inlineStr">
        <is>
          <t>Accessory</t>
        </is>
      </c>
      <c r="H190" s="32" t="inlineStr">
        <is>
          <t>-</t>
        </is>
      </c>
      <c r="I190" s="30" t="n">
        <v>2</v>
      </c>
      <c r="J190" s="30" t="inlineStr">
        <is>
          <t>8/leg</t>
        </is>
      </c>
      <c r="K190" s="30" t="inlineStr"/>
      <c r="L190" s="32" t="inlineStr"/>
      <c r="M190" s="32" t="inlineStr"/>
      <c r="N190" s="37" t="inlineStr"/>
      <c r="O190" s="8" t="inlineStr"/>
      <c r="P190" s="13" t="inlineStr"/>
      <c r="Q190" s="14" t="inlineStr">
        <is>
          <t>[ ]</t>
        </is>
      </c>
    </row>
    <row r="191" ht="22" customHeight="1">
      <c r="A191" s="38" t="n">
        <v>9</v>
      </c>
      <c r="B191" s="44" t="inlineStr">
        <is>
          <t>Top of Intensification</t>
        </is>
      </c>
      <c r="C191" s="39" t="n">
        <v>1</v>
      </c>
      <c r="D191" s="40" t="inlineStr">
        <is>
          <t>Monday — Squat</t>
        </is>
      </c>
      <c r="E191" s="41" t="n">
        <v>4</v>
      </c>
      <c r="F191" s="40" t="inlineStr">
        <is>
          <t>Leg curl</t>
        </is>
      </c>
      <c r="G191" s="41" t="inlineStr">
        <is>
          <t>Accessory</t>
        </is>
      </c>
      <c r="H191" s="41" t="inlineStr">
        <is>
          <t>-</t>
        </is>
      </c>
      <c r="I191" s="39" t="n">
        <v>2</v>
      </c>
      <c r="J191" s="39" t="inlineStr">
        <is>
          <t>10</t>
        </is>
      </c>
      <c r="K191" s="39" t="inlineStr"/>
      <c r="L191" s="32" t="inlineStr"/>
      <c r="M191" s="41" t="inlineStr"/>
      <c r="N191" s="37" t="inlineStr"/>
      <c r="O191" s="8" t="inlineStr"/>
      <c r="P191" s="13" t="inlineStr"/>
      <c r="Q191" s="14" t="inlineStr">
        <is>
          <t>[ ]</t>
        </is>
      </c>
    </row>
    <row r="192" ht="22" customHeight="1">
      <c r="A192" s="28" t="n">
        <v>9</v>
      </c>
      <c r="B192" s="44" t="inlineStr">
        <is>
          <t>Top of Intensification</t>
        </is>
      </c>
      <c r="C192" s="30" t="n">
        <v>1</v>
      </c>
      <c r="D192" s="31" t="inlineStr">
        <is>
          <t>Monday — Squat</t>
        </is>
      </c>
      <c r="E192" s="32" t="n">
        <v>5</v>
      </c>
      <c r="F192" s="31" t="inlineStr">
        <is>
          <t>Copenhagen plank</t>
        </is>
      </c>
      <c r="G192" s="32" t="inlineStr">
        <is>
          <t>Accessory</t>
        </is>
      </c>
      <c r="H192" s="32" t="inlineStr">
        <is>
          <t>-</t>
        </is>
      </c>
      <c r="I192" s="30" t="n">
        <v>3</v>
      </c>
      <c r="J192" s="30" t="inlineStr">
        <is>
          <t>15sec/side</t>
        </is>
      </c>
      <c r="K192" s="30" t="inlineStr"/>
      <c r="L192" s="32" t="inlineStr"/>
      <c r="M192" s="32" t="inlineStr"/>
      <c r="N192" s="37" t="inlineStr"/>
      <c r="O192" s="8" t="inlineStr"/>
      <c r="P192" s="13" t="inlineStr"/>
      <c r="Q192" s="14" t="inlineStr">
        <is>
          <t>[ ]</t>
        </is>
      </c>
    </row>
    <row r="193" ht="22" customHeight="1">
      <c r="A193" s="28" t="n">
        <v>9</v>
      </c>
      <c r="B193" s="44" t="inlineStr">
        <is>
          <t>Top of Intensification</t>
        </is>
      </c>
      <c r="C193" s="30" t="n">
        <v>2</v>
      </c>
      <c r="D193" s="31" t="inlineStr">
        <is>
          <t>Tuesday — Bench</t>
        </is>
      </c>
      <c r="E193" s="32" t="n">
        <v>1</v>
      </c>
      <c r="F193" s="33" t="inlineStr">
        <is>
          <t>Bench</t>
        </is>
      </c>
      <c r="G193" s="34" t="inlineStr">
        <is>
          <t>Main Lift</t>
        </is>
      </c>
      <c r="H193" s="32" t="inlineStr">
        <is>
          <t>BENCH</t>
        </is>
      </c>
      <c r="I193" s="28" t="n">
        <v>6</v>
      </c>
      <c r="J193" s="28" t="inlineStr">
        <is>
          <t>2</t>
        </is>
      </c>
      <c r="K193" s="28" t="inlineStr">
        <is>
          <t>88%</t>
        </is>
      </c>
      <c r="L193" s="35">
        <f>ROUND('Setup &amp; Dashboard'!$C$8*0.88/5, 0)*5</f>
        <v/>
      </c>
      <c r="M193" s="28" t="inlineStr">
        <is>
          <t>RPE 8-9</t>
        </is>
      </c>
      <c r="N193" s="37" t="inlineStr"/>
      <c r="O193" s="8" t="inlineStr"/>
      <c r="P193" s="13" t="inlineStr"/>
      <c r="Q193" s="14" t="inlineStr">
        <is>
          <t>[ ]</t>
        </is>
      </c>
    </row>
    <row r="194" ht="22" customHeight="1">
      <c r="A194" s="28" t="n">
        <v>9</v>
      </c>
      <c r="B194" s="44" t="inlineStr">
        <is>
          <t>Top of Intensification</t>
        </is>
      </c>
      <c r="C194" s="30" t="n">
        <v>2</v>
      </c>
      <c r="D194" s="31" t="inlineStr">
        <is>
          <t>Tuesday — Bench</t>
        </is>
      </c>
      <c r="E194" s="32" t="n">
        <v>2</v>
      </c>
      <c r="F194" s="31" t="inlineStr">
        <is>
          <t>Close-grip bench</t>
        </is>
      </c>
      <c r="G194" s="32" t="inlineStr">
        <is>
          <t>Accessory</t>
        </is>
      </c>
      <c r="H194" s="32" t="inlineStr">
        <is>
          <t>-</t>
        </is>
      </c>
      <c r="I194" s="30" t="n">
        <v>2</v>
      </c>
      <c r="J194" s="30" t="inlineStr">
        <is>
          <t>4</t>
        </is>
      </c>
      <c r="K194" s="30" t="inlineStr"/>
      <c r="L194" s="32" t="inlineStr"/>
      <c r="M194" s="32" t="inlineStr"/>
      <c r="N194" s="37" t="inlineStr"/>
      <c r="O194" s="8" t="inlineStr"/>
      <c r="P194" s="13" t="inlineStr"/>
      <c r="Q194" s="14" t="inlineStr">
        <is>
          <t>[ ]</t>
        </is>
      </c>
    </row>
    <row r="195" ht="22" customHeight="1">
      <c r="A195" s="38" t="n">
        <v>9</v>
      </c>
      <c r="B195" s="44" t="inlineStr">
        <is>
          <t>Top of Intensification</t>
        </is>
      </c>
      <c r="C195" s="39" t="n">
        <v>2</v>
      </c>
      <c r="D195" s="40" t="inlineStr">
        <is>
          <t>Tuesday — Bench</t>
        </is>
      </c>
      <c r="E195" s="41" t="n">
        <v>3</v>
      </c>
      <c r="F195" s="40" t="inlineStr">
        <is>
          <t>Incline DB press</t>
        </is>
      </c>
      <c r="G195" s="41" t="inlineStr">
        <is>
          <t>Accessory</t>
        </is>
      </c>
      <c r="H195" s="41" t="inlineStr">
        <is>
          <t>-</t>
        </is>
      </c>
      <c r="I195" s="39" t="n">
        <v>2</v>
      </c>
      <c r="J195" s="39" t="inlineStr">
        <is>
          <t>8</t>
        </is>
      </c>
      <c r="K195" s="39" t="inlineStr"/>
      <c r="L195" s="32" t="inlineStr"/>
      <c r="M195" s="41" t="inlineStr"/>
      <c r="N195" s="37" t="inlineStr"/>
      <c r="O195" s="8" t="inlineStr"/>
      <c r="P195" s="13" t="inlineStr"/>
      <c r="Q195" s="14" t="inlineStr">
        <is>
          <t>[ ]</t>
        </is>
      </c>
    </row>
    <row r="196" ht="22" customHeight="1">
      <c r="A196" s="28" t="n">
        <v>9</v>
      </c>
      <c r="B196" s="44" t="inlineStr">
        <is>
          <t>Top of Intensification</t>
        </is>
      </c>
      <c r="C196" s="30" t="n">
        <v>2</v>
      </c>
      <c r="D196" s="31" t="inlineStr">
        <is>
          <t>Tuesday — Bench</t>
        </is>
      </c>
      <c r="E196" s="32" t="n">
        <v>4</v>
      </c>
      <c r="F196" s="31" t="inlineStr">
        <is>
          <t>Triceps pressdown</t>
        </is>
      </c>
      <c r="G196" s="32" t="inlineStr">
        <is>
          <t>Accessory</t>
        </is>
      </c>
      <c r="H196" s="32" t="inlineStr">
        <is>
          <t>-</t>
        </is>
      </c>
      <c r="I196" s="30" t="n">
        <v>2</v>
      </c>
      <c r="J196" s="30" t="inlineStr">
        <is>
          <t>12</t>
        </is>
      </c>
      <c r="K196" s="30" t="inlineStr"/>
      <c r="L196" s="32" t="inlineStr"/>
      <c r="M196" s="32" t="inlineStr"/>
      <c r="N196" s="37" t="inlineStr"/>
      <c r="O196" s="8" t="inlineStr"/>
      <c r="P196" s="13" t="inlineStr"/>
      <c r="Q196" s="14" t="inlineStr">
        <is>
          <t>[ ]</t>
        </is>
      </c>
    </row>
    <row r="197" ht="22" customHeight="1">
      <c r="A197" s="38" t="n">
        <v>9</v>
      </c>
      <c r="B197" s="44" t="inlineStr">
        <is>
          <t>Top of Intensification</t>
        </is>
      </c>
      <c r="C197" s="39" t="n">
        <v>2</v>
      </c>
      <c r="D197" s="40" t="inlineStr">
        <is>
          <t>Tuesday — Bench</t>
        </is>
      </c>
      <c r="E197" s="41" t="n">
        <v>5</v>
      </c>
      <c r="F197" s="40" t="inlineStr">
        <is>
          <t>Face pull</t>
        </is>
      </c>
      <c r="G197" s="41" t="inlineStr">
        <is>
          <t>Accessory</t>
        </is>
      </c>
      <c r="H197" s="41" t="inlineStr">
        <is>
          <t>-</t>
        </is>
      </c>
      <c r="I197" s="39" t="n">
        <v>2</v>
      </c>
      <c r="J197" s="39" t="inlineStr">
        <is>
          <t>15</t>
        </is>
      </c>
      <c r="K197" s="39" t="inlineStr"/>
      <c r="L197" s="32" t="inlineStr"/>
      <c r="M197" s="41" t="inlineStr"/>
      <c r="N197" s="37" t="inlineStr"/>
      <c r="O197" s="8" t="inlineStr"/>
      <c r="P197" s="13" t="inlineStr"/>
      <c r="Q197" s="14" t="inlineStr">
        <is>
          <t>[ ]</t>
        </is>
      </c>
    </row>
    <row r="198" ht="22" customHeight="1">
      <c r="A198" s="28" t="n">
        <v>9</v>
      </c>
      <c r="B198" s="44" t="inlineStr">
        <is>
          <t>Top of Intensification</t>
        </is>
      </c>
      <c r="C198" s="30" t="n">
        <v>3</v>
      </c>
      <c r="D198" s="31" t="inlineStr">
        <is>
          <t>Thursday — Deadlift</t>
        </is>
      </c>
      <c r="E198" s="32" t="n">
        <v>1</v>
      </c>
      <c r="F198" s="33" t="inlineStr">
        <is>
          <t>Deadlift</t>
        </is>
      </c>
      <c r="G198" s="34" t="inlineStr">
        <is>
          <t>Main Lift</t>
        </is>
      </c>
      <c r="H198" s="32" t="inlineStr">
        <is>
          <t>DEADLIFT</t>
        </is>
      </c>
      <c r="I198" s="28" t="n">
        <v>2</v>
      </c>
      <c r="J198" s="28" t="inlineStr">
        <is>
          <t>2</t>
        </is>
      </c>
      <c r="K198" s="28" t="inlineStr">
        <is>
          <t>88%</t>
        </is>
      </c>
      <c r="L198" s="35">
        <f>ROUND('Setup &amp; Dashboard'!$C$9*0.88/5, 0)*5</f>
        <v/>
      </c>
      <c r="M198" s="28" t="inlineStr">
        <is>
          <t>RPE 8-9</t>
        </is>
      </c>
      <c r="N198" s="37" t="inlineStr"/>
      <c r="O198" s="8" t="inlineStr"/>
      <c r="P198" s="13" t="inlineStr"/>
      <c r="Q198" s="14" t="inlineStr">
        <is>
          <t>[ ]</t>
        </is>
      </c>
    </row>
    <row r="199" ht="22" customHeight="1">
      <c r="A199" s="28" t="n">
        <v>9</v>
      </c>
      <c r="B199" s="44" t="inlineStr">
        <is>
          <t>Top of Intensification</t>
        </is>
      </c>
      <c r="C199" s="30" t="n">
        <v>3</v>
      </c>
      <c r="D199" s="31" t="inlineStr">
        <is>
          <t>Thursday — Deadlift</t>
        </is>
      </c>
      <c r="E199" s="32" t="n">
        <v>2</v>
      </c>
      <c r="F199" s="33" t="inlineStr">
        <is>
          <t>1.5-rep deadlift (knee height)</t>
        </is>
      </c>
      <c r="G199" s="34" t="inlineStr">
        <is>
          <t>Main Lift</t>
        </is>
      </c>
      <c r="H199" s="32" t="inlineStr">
        <is>
          <t>DEADLIFT</t>
        </is>
      </c>
      <c r="I199" s="28" t="n">
        <v>3</v>
      </c>
      <c r="J199" s="28" t="inlineStr">
        <is>
          <t>3</t>
        </is>
      </c>
      <c r="K199" s="28" t="inlineStr">
        <is>
          <t>60% + 40 lb</t>
        </is>
      </c>
      <c r="L199" s="35">
        <f>ROUND('Setup &amp; Dashboard'!$C$9*0.6/5, 0)*5+40</f>
        <v/>
      </c>
      <c r="M199" s="32" t="inlineStr"/>
      <c r="N199" s="36" t="inlineStr">
        <is>
          <t>Reset every rep; lower to just below knee, return to lockout, then lower fully. W1 60% DL max; add +5 lb/week only if clean and ≤RPE 7. Deload: 2x3 @55% max.</t>
        </is>
      </c>
      <c r="O199" s="8" t="inlineStr"/>
      <c r="P199" s="13" t="inlineStr"/>
      <c r="Q199" s="14" t="inlineStr">
        <is>
          <t>[ ]</t>
        </is>
      </c>
    </row>
    <row r="200" ht="22" customHeight="1">
      <c r="A200" s="28" t="n">
        <v>9</v>
      </c>
      <c r="B200" s="44" t="inlineStr">
        <is>
          <t>Top of Intensification</t>
        </is>
      </c>
      <c r="C200" s="30" t="n">
        <v>3</v>
      </c>
      <c r="D200" s="31" t="inlineStr">
        <is>
          <t>Thursday — Deadlift</t>
        </is>
      </c>
      <c r="E200" s="32" t="n">
        <v>3</v>
      </c>
      <c r="F200" s="31" t="inlineStr">
        <is>
          <t>Reverse hyper</t>
        </is>
      </c>
      <c r="G200" s="32" t="inlineStr">
        <is>
          <t>Accessory</t>
        </is>
      </c>
      <c r="H200" s="32" t="inlineStr">
        <is>
          <t>-</t>
        </is>
      </c>
      <c r="I200" s="30" t="n">
        <v>1</v>
      </c>
      <c r="J200" s="30" t="inlineStr">
        <is>
          <t>10</t>
        </is>
      </c>
      <c r="K200" s="30" t="inlineStr"/>
      <c r="L200" s="32" t="inlineStr"/>
      <c r="M200" s="32" t="inlineStr"/>
      <c r="N200" s="37" t="inlineStr"/>
      <c r="O200" s="8" t="inlineStr"/>
      <c r="P200" s="13" t="inlineStr"/>
      <c r="Q200" s="14" t="inlineStr">
        <is>
          <t>[ ]</t>
        </is>
      </c>
    </row>
    <row r="201" ht="22" customHeight="1">
      <c r="A201" s="38" t="n">
        <v>9</v>
      </c>
      <c r="B201" s="44" t="inlineStr">
        <is>
          <t>Top of Intensification</t>
        </is>
      </c>
      <c r="C201" s="39" t="n">
        <v>3</v>
      </c>
      <c r="D201" s="40" t="inlineStr">
        <is>
          <t>Thursday — Deadlift</t>
        </is>
      </c>
      <c r="E201" s="41" t="n">
        <v>4</v>
      </c>
      <c r="F201" s="40" t="inlineStr">
        <is>
          <t>Jefferson curl</t>
        </is>
      </c>
      <c r="G201" s="41" t="inlineStr">
        <is>
          <t>Accessory</t>
        </is>
      </c>
      <c r="H201" s="41" t="inlineStr">
        <is>
          <t>-</t>
        </is>
      </c>
      <c r="I201" s="39" t="n">
        <v>1</v>
      </c>
      <c r="J201" s="39" t="inlineStr">
        <is>
          <t>6</t>
        </is>
      </c>
      <c r="K201" s="39" t="inlineStr"/>
      <c r="L201" s="32" t="inlineStr"/>
      <c r="M201" s="41" t="inlineStr"/>
      <c r="N201" s="37" t="inlineStr"/>
      <c r="O201" s="8" t="inlineStr"/>
      <c r="P201" s="13" t="inlineStr"/>
      <c r="Q201" s="14" t="inlineStr">
        <is>
          <t>[ ]</t>
        </is>
      </c>
    </row>
    <row r="202" ht="22" customHeight="1">
      <c r="A202" s="28" t="n">
        <v>9</v>
      </c>
      <c r="B202" s="44" t="inlineStr">
        <is>
          <t>Top of Intensification</t>
        </is>
      </c>
      <c r="C202" s="30" t="n">
        <v>4</v>
      </c>
      <c r="D202" s="31" t="inlineStr">
        <is>
          <t>Friday — Bench variant / upper body</t>
        </is>
      </c>
      <c r="E202" s="32" t="n">
        <v>1</v>
      </c>
      <c r="F202" s="33" t="inlineStr">
        <is>
          <t>Competition-style bench</t>
        </is>
      </c>
      <c r="G202" s="34" t="inlineStr">
        <is>
          <t>Main Lift</t>
        </is>
      </c>
      <c r="H202" s="32" t="inlineStr">
        <is>
          <t>BENCH</t>
        </is>
      </c>
      <c r="I202" s="28" t="n">
        <v>3</v>
      </c>
      <c r="J202" s="28" t="inlineStr">
        <is>
          <t>2</t>
        </is>
      </c>
      <c r="K202" s="28" t="inlineStr">
        <is>
          <t>83%</t>
        </is>
      </c>
      <c r="L202" s="35">
        <f>ROUND('Setup &amp; Dashboard'!$C$8*0.83/5, 0)*5</f>
        <v/>
      </c>
      <c r="M202" s="28" t="inlineStr">
        <is>
          <t>RPE 7-8</t>
        </is>
      </c>
      <c r="N202" s="37" t="inlineStr"/>
      <c r="O202" s="8" t="inlineStr"/>
      <c r="P202" s="13" t="inlineStr"/>
      <c r="Q202" s="14" t="inlineStr">
        <is>
          <t>[ ]</t>
        </is>
      </c>
    </row>
    <row r="203" ht="22" customHeight="1">
      <c r="A203" s="38" t="n">
        <v>9</v>
      </c>
      <c r="B203" s="44" t="inlineStr">
        <is>
          <t>Top of Intensification</t>
        </is>
      </c>
      <c r="C203" s="39" t="n">
        <v>4</v>
      </c>
      <c r="D203" s="40" t="inlineStr">
        <is>
          <t>Friday — Bench variant / upper body</t>
        </is>
      </c>
      <c r="E203" s="41" t="n">
        <v>2</v>
      </c>
      <c r="F203" s="40" t="inlineStr">
        <is>
          <t>Lat pulldown</t>
        </is>
      </c>
      <c r="G203" s="41" t="inlineStr">
        <is>
          <t>Accessory</t>
        </is>
      </c>
      <c r="H203" s="41" t="inlineStr">
        <is>
          <t>-</t>
        </is>
      </c>
      <c r="I203" s="39" t="n">
        <v>2</v>
      </c>
      <c r="J203" s="39" t="inlineStr">
        <is>
          <t>10</t>
        </is>
      </c>
      <c r="K203" s="39" t="inlineStr"/>
      <c r="L203" s="32" t="inlineStr"/>
      <c r="M203" s="41" t="inlineStr"/>
      <c r="N203" s="37" t="inlineStr"/>
      <c r="O203" s="8" t="inlineStr"/>
      <c r="P203" s="13" t="inlineStr"/>
      <c r="Q203" s="14" t="inlineStr">
        <is>
          <t>[ ]</t>
        </is>
      </c>
    </row>
    <row r="204" ht="22" customHeight="1">
      <c r="A204" s="28" t="n">
        <v>9</v>
      </c>
      <c r="B204" s="44" t="inlineStr">
        <is>
          <t>Top of Intensification</t>
        </is>
      </c>
      <c r="C204" s="30" t="n">
        <v>4</v>
      </c>
      <c r="D204" s="31" t="inlineStr">
        <is>
          <t>Friday — Bench variant / upper body</t>
        </is>
      </c>
      <c r="E204" s="32" t="n">
        <v>3</v>
      </c>
      <c r="F204" s="31" t="inlineStr">
        <is>
          <t>Lateral raise</t>
        </is>
      </c>
      <c r="G204" s="32" t="inlineStr">
        <is>
          <t>Accessory</t>
        </is>
      </c>
      <c r="H204" s="32" t="inlineStr">
        <is>
          <t>-</t>
        </is>
      </c>
      <c r="I204" s="30" t="n">
        <v>2</v>
      </c>
      <c r="J204" s="30" t="inlineStr">
        <is>
          <t>15</t>
        </is>
      </c>
      <c r="K204" s="30" t="inlineStr"/>
      <c r="L204" s="32" t="inlineStr"/>
      <c r="M204" s="32" t="inlineStr"/>
      <c r="N204" s="37" t="inlineStr"/>
      <c r="O204" s="8" t="inlineStr"/>
      <c r="P204" s="13" t="inlineStr"/>
      <c r="Q204" s="14" t="inlineStr">
        <is>
          <t>[ ]</t>
        </is>
      </c>
    </row>
    <row r="205" ht="22" customHeight="1">
      <c r="A205" s="38" t="n">
        <v>9</v>
      </c>
      <c r="B205" s="44" t="inlineStr">
        <is>
          <t>Top of Intensification</t>
        </is>
      </c>
      <c r="C205" s="39" t="n">
        <v>4</v>
      </c>
      <c r="D205" s="40" t="inlineStr">
        <is>
          <t>Friday — Bench variant / upper body</t>
        </is>
      </c>
      <c r="E205" s="41" t="n">
        <v>4</v>
      </c>
      <c r="F205" s="40" t="inlineStr">
        <is>
          <t>Curl</t>
        </is>
      </c>
      <c r="G205" s="41" t="inlineStr">
        <is>
          <t>Accessory</t>
        </is>
      </c>
      <c r="H205" s="41" t="inlineStr">
        <is>
          <t>-</t>
        </is>
      </c>
      <c r="I205" s="39" t="n">
        <v>2</v>
      </c>
      <c r="J205" s="39" t="inlineStr">
        <is>
          <t>10</t>
        </is>
      </c>
      <c r="K205" s="39" t="inlineStr"/>
      <c r="L205" s="32" t="inlineStr"/>
      <c r="M205" s="41" t="inlineStr"/>
      <c r="N205" s="37" t="inlineStr"/>
      <c r="O205" s="8" t="inlineStr"/>
      <c r="P205" s="13" t="inlineStr"/>
      <c r="Q205" s="14" t="inlineStr">
        <is>
          <t>[ ]</t>
        </is>
      </c>
    </row>
    <row r="206" ht="22" customHeight="1">
      <c r="A206" s="28" t="n">
        <v>9</v>
      </c>
      <c r="B206" s="44" t="inlineStr">
        <is>
          <t>Top of Intensification</t>
        </is>
      </c>
      <c r="C206" s="30" t="n">
        <v>4</v>
      </c>
      <c r="D206" s="31" t="inlineStr">
        <is>
          <t>Friday — Bench variant / upper body</t>
        </is>
      </c>
      <c r="E206" s="32" t="n">
        <v>5</v>
      </c>
      <c r="F206" s="31" t="inlineStr">
        <is>
          <t>Pallof press</t>
        </is>
      </c>
      <c r="G206" s="32" t="inlineStr">
        <is>
          <t>Accessory</t>
        </is>
      </c>
      <c r="H206" s="32" t="inlineStr">
        <is>
          <t>-</t>
        </is>
      </c>
      <c r="I206" s="30" t="n">
        <v>2</v>
      </c>
      <c r="J206" s="30" t="inlineStr">
        <is>
          <t>10/side</t>
        </is>
      </c>
      <c r="K206" s="30" t="inlineStr"/>
      <c r="L206" s="32" t="inlineStr"/>
      <c r="M206" s="32" t="inlineStr"/>
      <c r="N206" s="37" t="inlineStr"/>
      <c r="O206" s="8" t="inlineStr"/>
      <c r="P206" s="13" t="inlineStr"/>
      <c r="Q206" s="14" t="inlineStr">
        <is>
          <t>[ ]</t>
        </is>
      </c>
    </row>
    <row r="207" ht="22" customHeight="1">
      <c r="A207" s="28" t="n">
        <v>9</v>
      </c>
      <c r="B207" s="44" t="inlineStr">
        <is>
          <t>Top of Intensification</t>
        </is>
      </c>
      <c r="C207" s="30" t="n">
        <v>5</v>
      </c>
      <c r="D207" s="31" t="inlineStr">
        <is>
          <t>Saturday — Squat variant + Bent-over row</t>
        </is>
      </c>
      <c r="E207" s="32" t="n">
        <v>1</v>
      </c>
      <c r="F207" s="33" t="inlineStr">
        <is>
          <t>High-bar squat</t>
        </is>
      </c>
      <c r="G207" s="34" t="inlineStr">
        <is>
          <t>Main Lift</t>
        </is>
      </c>
      <c r="H207" s="32" t="inlineStr">
        <is>
          <t>SQUAT</t>
        </is>
      </c>
      <c r="I207" s="28" t="n">
        <v>2</v>
      </c>
      <c r="J207" s="28" t="inlineStr">
        <is>
          <t>2</t>
        </is>
      </c>
      <c r="K207" s="28" t="inlineStr">
        <is>
          <t>75% + 10 lb</t>
        </is>
      </c>
      <c r="L207" s="35">
        <f>ROUND('Setup &amp; Dashboard'!$C$7*0.75/5, 0)*5+10</f>
        <v/>
      </c>
      <c r="M207" s="28" t="inlineStr">
        <is>
          <t>RPE ≤8</t>
        </is>
      </c>
      <c r="N207" s="36" t="inlineStr">
        <is>
          <t>Clean reps; no grinding</t>
        </is>
      </c>
      <c r="O207" s="8" t="inlineStr"/>
      <c r="P207" s="13" t="inlineStr"/>
      <c r="Q207" s="14" t="inlineStr">
        <is>
          <t>[ ]</t>
        </is>
      </c>
    </row>
    <row r="208" ht="22" customHeight="1">
      <c r="A208" s="28" t="n">
        <v>9</v>
      </c>
      <c r="B208" s="44" t="inlineStr">
        <is>
          <t>Top of Intensification</t>
        </is>
      </c>
      <c r="C208" s="30" t="n">
        <v>5</v>
      </c>
      <c r="D208" s="31" t="inlineStr">
        <is>
          <t>Saturday — Squat variant + Bent-over row</t>
        </is>
      </c>
      <c r="E208" s="32" t="n">
        <v>2</v>
      </c>
      <c r="F208" s="31" t="inlineStr">
        <is>
          <t>Bent-over row</t>
        </is>
      </c>
      <c r="G208" s="32" t="inlineStr">
        <is>
          <t>Accessory</t>
        </is>
      </c>
      <c r="H208" s="32" t="inlineStr">
        <is>
          <t>ROW</t>
        </is>
      </c>
      <c r="I208" s="30" t="n">
        <v>4</v>
      </c>
      <c r="J208" s="30" t="inlineStr">
        <is>
          <t>4-6</t>
        </is>
      </c>
      <c r="K208" s="30" t="inlineStr">
        <is>
          <t>Linear +5lb</t>
        </is>
      </c>
      <c r="L208" s="35">
        <f>'Setup &amp; Dashboard'!$C$10+(9-1)*5</f>
        <v/>
      </c>
      <c r="M208" s="32" t="inlineStr"/>
      <c r="N208" s="36" t="inlineStr">
        <is>
          <t>4 strict sets. Add 5 lb next exposure only when every set is clean and ≤RPE 8; deload load/reps, no failure.</t>
        </is>
      </c>
      <c r="O208" s="8" t="inlineStr"/>
      <c r="P208" s="13" t="inlineStr"/>
      <c r="Q208" s="14" t="inlineStr">
        <is>
          <t>[ ]</t>
        </is>
      </c>
    </row>
    <row r="209" ht="22" customHeight="1">
      <c r="A209" s="38" t="n">
        <v>9</v>
      </c>
      <c r="B209" s="44" t="inlineStr">
        <is>
          <t>Top of Intensification</t>
        </is>
      </c>
      <c r="C209" s="39" t="n">
        <v>5</v>
      </c>
      <c r="D209" s="40" t="inlineStr">
        <is>
          <t>Saturday — Squat variant + Bent-over row</t>
        </is>
      </c>
      <c r="E209" s="41" t="n">
        <v>3</v>
      </c>
      <c r="F209" s="40" t="inlineStr">
        <is>
          <t>Reverse hyper</t>
        </is>
      </c>
      <c r="G209" s="41" t="inlineStr">
        <is>
          <t>Accessory</t>
        </is>
      </c>
      <c r="H209" s="41" t="inlineStr">
        <is>
          <t>-</t>
        </is>
      </c>
      <c r="I209" s="39" t="n">
        <v>1</v>
      </c>
      <c r="J209" s="39" t="inlineStr">
        <is>
          <t>10</t>
        </is>
      </c>
      <c r="K209" s="39" t="inlineStr"/>
      <c r="L209" s="32" t="inlineStr"/>
      <c r="M209" s="41" t="inlineStr"/>
      <c r="N209" s="37" t="inlineStr"/>
      <c r="O209" s="8" t="inlineStr"/>
      <c r="P209" s="13" t="inlineStr"/>
      <c r="Q209" s="14" t="inlineStr">
        <is>
          <t>[ ]</t>
        </is>
      </c>
    </row>
    <row r="210" ht="22" customHeight="1">
      <c r="A210" s="28" t="n">
        <v>9</v>
      </c>
      <c r="B210" s="44" t="inlineStr">
        <is>
          <t>Top of Intensification</t>
        </is>
      </c>
      <c r="C210" s="30" t="n">
        <v>5</v>
      </c>
      <c r="D210" s="31" t="inlineStr">
        <is>
          <t>Saturday — Squat variant + Bent-over row</t>
        </is>
      </c>
      <c r="E210" s="32" t="n">
        <v>4</v>
      </c>
      <c r="F210" s="31" t="inlineStr">
        <is>
          <t>GHR or Nordic curl</t>
        </is>
      </c>
      <c r="G210" s="32" t="inlineStr">
        <is>
          <t>Accessory</t>
        </is>
      </c>
      <c r="H210" s="32" t="inlineStr">
        <is>
          <t>-</t>
        </is>
      </c>
      <c r="I210" s="30" t="n">
        <v>2</v>
      </c>
      <c r="J210" s="30" t="inlineStr">
        <is>
          <t>8</t>
        </is>
      </c>
      <c r="K210" s="30" t="inlineStr"/>
      <c r="L210" s="32" t="inlineStr"/>
      <c r="M210" s="32" t="inlineStr"/>
      <c r="N210" s="37" t="inlineStr"/>
      <c r="O210" s="8" t="inlineStr"/>
      <c r="P210" s="13" t="inlineStr"/>
      <c r="Q210" s="14" t="inlineStr">
        <is>
          <t>[ ]</t>
        </is>
      </c>
    </row>
    <row r="211" ht="22" customHeight="1">
      <c r="A211" s="28" t="n">
        <v>10</v>
      </c>
      <c r="B211" s="43" t="inlineStr">
        <is>
          <t>Deload</t>
        </is>
      </c>
      <c r="C211" s="30" t="n">
        <v>1</v>
      </c>
      <c r="D211" s="31" t="inlineStr">
        <is>
          <t>Monday — Squat</t>
        </is>
      </c>
      <c r="E211" s="32" t="n">
        <v>1</v>
      </c>
      <c r="F211" s="33" t="inlineStr">
        <is>
          <t>Squat — top single</t>
        </is>
      </c>
      <c r="G211" s="34" t="inlineStr">
        <is>
          <t>Main Lift</t>
        </is>
      </c>
      <c r="H211" s="32" t="inlineStr">
        <is>
          <t>SQUAT</t>
        </is>
      </c>
      <c r="I211" s="28" t="n">
        <v>1</v>
      </c>
      <c r="J211" s="28" t="inlineStr">
        <is>
          <t>1</t>
        </is>
      </c>
      <c r="K211" s="28" t="inlineStr">
        <is>
          <t>60%</t>
        </is>
      </c>
      <c r="L211" s="35">
        <f>ROUND('Setup &amp; Dashboard'!$C$7*0.6/5, 0)*5</f>
        <v/>
      </c>
      <c r="M211" s="28" t="inlineStr">
        <is>
          <t>RPE 7-8 cap</t>
        </is>
      </c>
      <c r="N211" s="36" t="inlineStr">
        <is>
          <t>Skip if slow or technically compromised</t>
        </is>
      </c>
      <c r="O211" s="8" t="inlineStr"/>
      <c r="P211" s="13" t="inlineStr"/>
      <c r="Q211" s="14" t="inlineStr">
        <is>
          <t>[ ]</t>
        </is>
      </c>
    </row>
    <row r="212" ht="22" customHeight="1">
      <c r="A212" s="28" t="n">
        <v>10</v>
      </c>
      <c r="B212" s="43" t="inlineStr">
        <is>
          <t>Deload</t>
        </is>
      </c>
      <c r="C212" s="30" t="n">
        <v>1</v>
      </c>
      <c r="D212" s="31" t="inlineStr">
        <is>
          <t>Monday — Squat</t>
        </is>
      </c>
      <c r="E212" s="32" t="n">
        <v>2</v>
      </c>
      <c r="F212" s="33" t="inlineStr">
        <is>
          <t>Squat — back-off</t>
        </is>
      </c>
      <c r="G212" s="34" t="inlineStr">
        <is>
          <t>Main Lift</t>
        </is>
      </c>
      <c r="H212" s="32" t="inlineStr">
        <is>
          <t>SQUAT</t>
        </is>
      </c>
      <c r="I212" s="28" t="n">
        <v>3</v>
      </c>
      <c r="J212" s="28" t="inlineStr">
        <is>
          <t>2</t>
        </is>
      </c>
      <c r="K212" s="28" t="inlineStr">
        <is>
          <t>65%</t>
        </is>
      </c>
      <c r="L212" s="35">
        <f>ROUND('Setup &amp; Dashboard'!$C$7*0.65/5, 0)*5</f>
        <v/>
      </c>
      <c r="M212" s="28" t="inlineStr">
        <is>
          <t>RPE 6</t>
        </is>
      </c>
      <c r="N212" s="36" t="inlineStr">
        <is>
          <t>Deload</t>
        </is>
      </c>
      <c r="O212" s="8" t="inlineStr"/>
      <c r="P212" s="13" t="inlineStr"/>
      <c r="Q212" s="14" t="inlineStr">
        <is>
          <t>[ ]</t>
        </is>
      </c>
    </row>
    <row r="213" ht="22" customHeight="1">
      <c r="A213" s="38" t="n">
        <v>10</v>
      </c>
      <c r="B213" s="43" t="inlineStr">
        <is>
          <t>Deload</t>
        </is>
      </c>
      <c r="C213" s="39" t="n">
        <v>1</v>
      </c>
      <c r="D213" s="40" t="inlineStr">
        <is>
          <t>Monday — Squat</t>
        </is>
      </c>
      <c r="E213" s="41" t="n">
        <v>3</v>
      </c>
      <c r="F213" s="40" t="inlineStr">
        <is>
          <t>Split squat</t>
        </is>
      </c>
      <c r="G213" s="41" t="inlineStr">
        <is>
          <t>Accessory</t>
        </is>
      </c>
      <c r="H213" s="41" t="inlineStr">
        <is>
          <t>-</t>
        </is>
      </c>
      <c r="I213" s="39" t="n">
        <v>2</v>
      </c>
      <c r="J213" s="39" t="inlineStr">
        <is>
          <t>6-8/leg</t>
        </is>
      </c>
      <c r="K213" s="39" t="inlineStr"/>
      <c r="L213" s="32" t="inlineStr"/>
      <c r="M213" s="41" t="inlineStr"/>
      <c r="N213" s="37" t="inlineStr"/>
      <c r="O213" s="8" t="inlineStr"/>
      <c r="P213" s="13" t="inlineStr"/>
      <c r="Q213" s="14" t="inlineStr">
        <is>
          <t>[ ]</t>
        </is>
      </c>
    </row>
    <row r="214" ht="22" customHeight="1">
      <c r="A214" s="28" t="n">
        <v>10</v>
      </c>
      <c r="B214" s="43" t="inlineStr">
        <is>
          <t>Deload</t>
        </is>
      </c>
      <c r="C214" s="30" t="n">
        <v>1</v>
      </c>
      <c r="D214" s="31" t="inlineStr">
        <is>
          <t>Monday — Squat</t>
        </is>
      </c>
      <c r="E214" s="32" t="n">
        <v>4</v>
      </c>
      <c r="F214" s="31" t="inlineStr">
        <is>
          <t>Leg curl</t>
        </is>
      </c>
      <c r="G214" s="32" t="inlineStr">
        <is>
          <t>Accessory</t>
        </is>
      </c>
      <c r="H214" s="32" t="inlineStr">
        <is>
          <t>-</t>
        </is>
      </c>
      <c r="I214" s="30" t="n">
        <v>2</v>
      </c>
      <c r="J214" s="30" t="inlineStr">
        <is>
          <t>8</t>
        </is>
      </c>
      <c r="K214" s="30" t="inlineStr"/>
      <c r="L214" s="32" t="inlineStr"/>
      <c r="M214" s="32" t="inlineStr"/>
      <c r="N214" s="37" t="inlineStr"/>
      <c r="O214" s="8" t="inlineStr"/>
      <c r="P214" s="13" t="inlineStr"/>
      <c r="Q214" s="14" t="inlineStr">
        <is>
          <t>[ ]</t>
        </is>
      </c>
    </row>
    <row r="215" ht="22" customHeight="1">
      <c r="A215" s="38" t="n">
        <v>10</v>
      </c>
      <c r="B215" s="43" t="inlineStr">
        <is>
          <t>Deload</t>
        </is>
      </c>
      <c r="C215" s="39" t="n">
        <v>1</v>
      </c>
      <c r="D215" s="40" t="inlineStr">
        <is>
          <t>Monday — Squat</t>
        </is>
      </c>
      <c r="E215" s="41" t="n">
        <v>5</v>
      </c>
      <c r="F215" s="40" t="inlineStr">
        <is>
          <t>Copenhagen plank</t>
        </is>
      </c>
      <c r="G215" s="41" t="inlineStr">
        <is>
          <t>Accessory</t>
        </is>
      </c>
      <c r="H215" s="41" t="inlineStr">
        <is>
          <t>-</t>
        </is>
      </c>
      <c r="I215" s="39" t="n">
        <v>2</v>
      </c>
      <c r="J215" s="39" t="inlineStr">
        <is>
          <t>15sec/side</t>
        </is>
      </c>
      <c r="K215" s="39" t="inlineStr"/>
      <c r="L215" s="32" t="inlineStr"/>
      <c r="M215" s="41" t="inlineStr"/>
      <c r="N215" s="37" t="inlineStr"/>
      <c r="O215" s="8" t="inlineStr"/>
      <c r="P215" s="13" t="inlineStr"/>
      <c r="Q215" s="14" t="inlineStr">
        <is>
          <t>[ ]</t>
        </is>
      </c>
    </row>
    <row r="216" ht="22" customHeight="1">
      <c r="A216" s="28" t="n">
        <v>10</v>
      </c>
      <c r="B216" s="43" t="inlineStr">
        <is>
          <t>Deload</t>
        </is>
      </c>
      <c r="C216" s="30" t="n">
        <v>2</v>
      </c>
      <c r="D216" s="31" t="inlineStr">
        <is>
          <t>Tuesday — Bench</t>
        </is>
      </c>
      <c r="E216" s="32" t="n">
        <v>1</v>
      </c>
      <c r="F216" s="33" t="inlineStr">
        <is>
          <t>Bench</t>
        </is>
      </c>
      <c r="G216" s="34" t="inlineStr">
        <is>
          <t>Main Lift</t>
        </is>
      </c>
      <c r="H216" s="32" t="inlineStr">
        <is>
          <t>BENCH</t>
        </is>
      </c>
      <c r="I216" s="28" t="n">
        <v>5</v>
      </c>
      <c r="J216" s="28" t="inlineStr">
        <is>
          <t>2</t>
        </is>
      </c>
      <c r="K216" s="28" t="inlineStr">
        <is>
          <t>65%</t>
        </is>
      </c>
      <c r="L216" s="35">
        <f>ROUND('Setup &amp; Dashboard'!$C$8*0.65/5, 0)*5</f>
        <v/>
      </c>
      <c r="M216" s="28" t="inlineStr">
        <is>
          <t>RPE 6</t>
        </is>
      </c>
      <c r="N216" s="37" t="inlineStr"/>
      <c r="O216" s="8" t="inlineStr"/>
      <c r="P216" s="13" t="inlineStr"/>
      <c r="Q216" s="14" t="inlineStr">
        <is>
          <t>[ ]</t>
        </is>
      </c>
    </row>
    <row r="217" ht="22" customHeight="1">
      <c r="A217" s="38" t="n">
        <v>10</v>
      </c>
      <c r="B217" s="43" t="inlineStr">
        <is>
          <t>Deload</t>
        </is>
      </c>
      <c r="C217" s="39" t="n">
        <v>2</v>
      </c>
      <c r="D217" s="40" t="inlineStr">
        <is>
          <t>Tuesday — Bench</t>
        </is>
      </c>
      <c r="E217" s="41" t="n">
        <v>2</v>
      </c>
      <c r="F217" s="40" t="inlineStr">
        <is>
          <t>Close-grip bench</t>
        </is>
      </c>
      <c r="G217" s="41" t="inlineStr">
        <is>
          <t>Accessory</t>
        </is>
      </c>
      <c r="H217" s="41" t="inlineStr">
        <is>
          <t>-</t>
        </is>
      </c>
      <c r="I217" s="39" t="n">
        <v>2</v>
      </c>
      <c r="J217" s="39" t="inlineStr">
        <is>
          <t>5</t>
        </is>
      </c>
      <c r="K217" s="39" t="inlineStr"/>
      <c r="L217" s="32" t="inlineStr"/>
      <c r="M217" s="41" t="inlineStr"/>
      <c r="N217" s="37" t="inlineStr"/>
      <c r="O217" s="8" t="inlineStr"/>
      <c r="P217" s="13" t="inlineStr"/>
      <c r="Q217" s="14" t="inlineStr">
        <is>
          <t>[ ]</t>
        </is>
      </c>
    </row>
    <row r="218" ht="22" customHeight="1">
      <c r="A218" s="28" t="n">
        <v>10</v>
      </c>
      <c r="B218" s="43" t="inlineStr">
        <is>
          <t>Deload</t>
        </is>
      </c>
      <c r="C218" s="30" t="n">
        <v>2</v>
      </c>
      <c r="D218" s="31" t="inlineStr">
        <is>
          <t>Tuesday — Bench</t>
        </is>
      </c>
      <c r="E218" s="32" t="n">
        <v>3</v>
      </c>
      <c r="F218" s="31" t="inlineStr">
        <is>
          <t>Incline DB press</t>
        </is>
      </c>
      <c r="G218" s="32" t="inlineStr">
        <is>
          <t>Accessory</t>
        </is>
      </c>
      <c r="H218" s="32" t="inlineStr">
        <is>
          <t>-</t>
        </is>
      </c>
      <c r="I218" s="30" t="n">
        <v>2</v>
      </c>
      <c r="J218" s="30" t="inlineStr">
        <is>
          <t>8</t>
        </is>
      </c>
      <c r="K218" s="30" t="inlineStr"/>
      <c r="L218" s="32" t="inlineStr"/>
      <c r="M218" s="32" t="inlineStr"/>
      <c r="N218" s="37" t="inlineStr"/>
      <c r="O218" s="8" t="inlineStr"/>
      <c r="P218" s="13" t="inlineStr"/>
      <c r="Q218" s="14" t="inlineStr">
        <is>
          <t>[ ]</t>
        </is>
      </c>
    </row>
    <row r="219" ht="22" customHeight="1">
      <c r="A219" s="38" t="n">
        <v>10</v>
      </c>
      <c r="B219" s="43" t="inlineStr">
        <is>
          <t>Deload</t>
        </is>
      </c>
      <c r="C219" s="39" t="n">
        <v>2</v>
      </c>
      <c r="D219" s="40" t="inlineStr">
        <is>
          <t>Tuesday — Bench</t>
        </is>
      </c>
      <c r="E219" s="41" t="n">
        <v>4</v>
      </c>
      <c r="F219" s="40" t="inlineStr">
        <is>
          <t>Face pull</t>
        </is>
      </c>
      <c r="G219" s="41" t="inlineStr">
        <is>
          <t>Accessory</t>
        </is>
      </c>
      <c r="H219" s="41" t="inlineStr">
        <is>
          <t>-</t>
        </is>
      </c>
      <c r="I219" s="39" t="n">
        <v>2</v>
      </c>
      <c r="J219" s="39" t="inlineStr">
        <is>
          <t>15</t>
        </is>
      </c>
      <c r="K219" s="39" t="inlineStr"/>
      <c r="L219" s="32" t="inlineStr"/>
      <c r="M219" s="41" t="inlineStr"/>
      <c r="N219" s="37" t="inlineStr"/>
      <c r="O219" s="8" t="inlineStr"/>
      <c r="P219" s="13" t="inlineStr"/>
      <c r="Q219" s="14" t="inlineStr">
        <is>
          <t>[ ]</t>
        </is>
      </c>
    </row>
    <row r="220" ht="22" customHeight="1">
      <c r="A220" s="28" t="n">
        <v>10</v>
      </c>
      <c r="B220" s="43" t="inlineStr">
        <is>
          <t>Deload</t>
        </is>
      </c>
      <c r="C220" s="30" t="n">
        <v>2</v>
      </c>
      <c r="D220" s="31" t="inlineStr">
        <is>
          <t>Tuesday — Bench</t>
        </is>
      </c>
      <c r="E220" s="32" t="n">
        <v>5</v>
      </c>
      <c r="F220" s="31" t="inlineStr">
        <is>
          <t>Pallof press</t>
        </is>
      </c>
      <c r="G220" s="32" t="inlineStr">
        <is>
          <t>Accessory</t>
        </is>
      </c>
      <c r="H220" s="32" t="inlineStr">
        <is>
          <t>-</t>
        </is>
      </c>
      <c r="I220" s="30" t="n">
        <v>2</v>
      </c>
      <c r="J220" s="30" t="inlineStr">
        <is>
          <t>8/side</t>
        </is>
      </c>
      <c r="K220" s="30" t="inlineStr"/>
      <c r="L220" s="32" t="inlineStr"/>
      <c r="M220" s="32" t="inlineStr"/>
      <c r="N220" s="37" t="inlineStr"/>
      <c r="O220" s="8" t="inlineStr"/>
      <c r="P220" s="13" t="inlineStr"/>
      <c r="Q220" s="14" t="inlineStr">
        <is>
          <t>[ ]</t>
        </is>
      </c>
    </row>
    <row r="221" ht="22" customHeight="1">
      <c r="A221" s="28" t="n">
        <v>10</v>
      </c>
      <c r="B221" s="43" t="inlineStr">
        <is>
          <t>Deload</t>
        </is>
      </c>
      <c r="C221" s="30" t="n">
        <v>3</v>
      </c>
      <c r="D221" s="31" t="inlineStr">
        <is>
          <t>Thursday — Deadlift</t>
        </is>
      </c>
      <c r="E221" s="32" t="n">
        <v>1</v>
      </c>
      <c r="F221" s="33" t="inlineStr">
        <is>
          <t>Deadlift</t>
        </is>
      </c>
      <c r="G221" s="34" t="inlineStr">
        <is>
          <t>Main Lift</t>
        </is>
      </c>
      <c r="H221" s="32" t="inlineStr">
        <is>
          <t>DEADLIFT</t>
        </is>
      </c>
      <c r="I221" s="28" t="n">
        <v>2</v>
      </c>
      <c r="J221" s="28" t="inlineStr">
        <is>
          <t>2</t>
        </is>
      </c>
      <c r="K221" s="28" t="inlineStr">
        <is>
          <t>60%</t>
        </is>
      </c>
      <c r="L221" s="35">
        <f>ROUND('Setup &amp; Dashboard'!$C$9*0.6/5, 0)*5</f>
        <v/>
      </c>
      <c r="M221" s="28" t="inlineStr">
        <is>
          <t>RPE 6</t>
        </is>
      </c>
      <c r="N221" s="37" t="inlineStr"/>
      <c r="O221" s="8" t="inlineStr"/>
      <c r="P221" s="13" t="inlineStr"/>
      <c r="Q221" s="14" t="inlineStr">
        <is>
          <t>[ ]</t>
        </is>
      </c>
    </row>
    <row r="222" ht="22" customHeight="1">
      <c r="A222" s="28" t="n">
        <v>10</v>
      </c>
      <c r="B222" s="43" t="inlineStr">
        <is>
          <t>Deload</t>
        </is>
      </c>
      <c r="C222" s="30" t="n">
        <v>3</v>
      </c>
      <c r="D222" s="31" t="inlineStr">
        <is>
          <t>Thursday — Deadlift</t>
        </is>
      </c>
      <c r="E222" s="32" t="n">
        <v>2</v>
      </c>
      <c r="F222" s="33" t="inlineStr">
        <is>
          <t>1.5-rep deadlift (knee height)</t>
        </is>
      </c>
      <c r="G222" s="34" t="inlineStr">
        <is>
          <t>Main Lift</t>
        </is>
      </c>
      <c r="H222" s="32" t="inlineStr">
        <is>
          <t>DEADLIFT</t>
        </is>
      </c>
      <c r="I222" s="28" t="n">
        <v>2</v>
      </c>
      <c r="J222" s="28" t="inlineStr">
        <is>
          <t>3</t>
        </is>
      </c>
      <c r="K222" s="28" t="inlineStr">
        <is>
          <t>55%</t>
        </is>
      </c>
      <c r="L222" s="35">
        <f>ROUND('Setup &amp; Dashboard'!$C$9*0.55/5, 0)*5</f>
        <v/>
      </c>
      <c r="M222" s="32" t="inlineStr"/>
      <c r="N222" s="36" t="inlineStr">
        <is>
          <t>Reset every rep; lower to just below knee, return to lockout, then lower fully. W1 60% DL max; add +5 lb/week only if clean and ≤RPE 7. Deload: 2x3 @55% max.</t>
        </is>
      </c>
      <c r="O222" s="8" t="inlineStr"/>
      <c r="P222" s="13" t="inlineStr"/>
      <c r="Q222" s="14" t="inlineStr">
        <is>
          <t>[ ]</t>
        </is>
      </c>
    </row>
    <row r="223" ht="22" customHeight="1">
      <c r="A223" s="38" t="n">
        <v>10</v>
      </c>
      <c r="B223" s="43" t="inlineStr">
        <is>
          <t>Deload</t>
        </is>
      </c>
      <c r="C223" s="39" t="n">
        <v>3</v>
      </c>
      <c r="D223" s="40" t="inlineStr">
        <is>
          <t>Thursday — Deadlift</t>
        </is>
      </c>
      <c r="E223" s="41" t="n">
        <v>3</v>
      </c>
      <c r="F223" s="40" t="inlineStr">
        <is>
          <t>Reverse hyper</t>
        </is>
      </c>
      <c r="G223" s="41" t="inlineStr">
        <is>
          <t>Accessory</t>
        </is>
      </c>
      <c r="H223" s="41" t="inlineStr">
        <is>
          <t>-</t>
        </is>
      </c>
      <c r="I223" s="39" t="n">
        <v>2</v>
      </c>
      <c r="J223" s="39" t="inlineStr">
        <is>
          <t>10</t>
        </is>
      </c>
      <c r="K223" s="39" t="inlineStr"/>
      <c r="L223" s="32" t="inlineStr"/>
      <c r="M223" s="41" t="inlineStr"/>
      <c r="N223" s="37" t="inlineStr"/>
      <c r="O223" s="8" t="inlineStr"/>
      <c r="P223" s="13" t="inlineStr"/>
      <c r="Q223" s="14" t="inlineStr">
        <is>
          <t>[ ]</t>
        </is>
      </c>
    </row>
    <row r="224" ht="22" customHeight="1">
      <c r="A224" s="28" t="n">
        <v>10</v>
      </c>
      <c r="B224" s="43" t="inlineStr">
        <is>
          <t>Deload</t>
        </is>
      </c>
      <c r="C224" s="30" t="n">
        <v>3</v>
      </c>
      <c r="D224" s="31" t="inlineStr">
        <is>
          <t>Thursday — Deadlift</t>
        </is>
      </c>
      <c r="E224" s="32" t="n">
        <v>4</v>
      </c>
      <c r="F224" s="31" t="inlineStr">
        <is>
          <t>Jefferson curl</t>
        </is>
      </c>
      <c r="G224" s="32" t="inlineStr">
        <is>
          <t>Accessory</t>
        </is>
      </c>
      <c r="H224" s="32" t="inlineStr">
        <is>
          <t>-</t>
        </is>
      </c>
      <c r="I224" s="30" t="n">
        <v>1</v>
      </c>
      <c r="J224" s="30" t="inlineStr">
        <is>
          <t>6</t>
        </is>
      </c>
      <c r="K224" s="30" t="inlineStr"/>
      <c r="L224" s="32" t="inlineStr"/>
      <c r="M224" s="32" t="inlineStr"/>
      <c r="N224" s="37" t="inlineStr"/>
      <c r="O224" s="8" t="inlineStr"/>
      <c r="P224" s="13" t="inlineStr"/>
      <c r="Q224" s="14" t="inlineStr">
        <is>
          <t>[ ]</t>
        </is>
      </c>
    </row>
    <row r="225" ht="22" customHeight="1">
      <c r="A225" s="28" t="n">
        <v>10</v>
      </c>
      <c r="B225" s="43" t="inlineStr">
        <is>
          <t>Deload</t>
        </is>
      </c>
      <c r="C225" s="30" t="n">
        <v>4</v>
      </c>
      <c r="D225" s="31" t="inlineStr">
        <is>
          <t>Friday — Bench variant / upper body</t>
        </is>
      </c>
      <c r="E225" s="32" t="n">
        <v>1</v>
      </c>
      <c r="F225" s="33" t="inlineStr">
        <is>
          <t>Light paused bench</t>
        </is>
      </c>
      <c r="G225" s="34" t="inlineStr">
        <is>
          <t>Main Lift</t>
        </is>
      </c>
      <c r="H225" s="32" t="inlineStr">
        <is>
          <t>BENCH</t>
        </is>
      </c>
      <c r="I225" s="28" t="n">
        <v>3</v>
      </c>
      <c r="J225" s="28" t="inlineStr">
        <is>
          <t>2</t>
        </is>
      </c>
      <c r="K225" s="28" t="inlineStr">
        <is>
          <t>60%</t>
        </is>
      </c>
      <c r="L225" s="35">
        <f>ROUND('Setup &amp; Dashboard'!$C$8*0.6/5, 0)*5</f>
        <v/>
      </c>
      <c r="M225" s="28" t="inlineStr">
        <is>
          <t>RPE 6</t>
        </is>
      </c>
      <c r="N225" s="37" t="inlineStr"/>
      <c r="O225" s="8" t="inlineStr"/>
      <c r="P225" s="13" t="inlineStr"/>
      <c r="Q225" s="14" t="inlineStr">
        <is>
          <t>[ ]</t>
        </is>
      </c>
    </row>
    <row r="226" ht="22" customHeight="1">
      <c r="A226" s="28" t="n">
        <v>10</v>
      </c>
      <c r="B226" s="43" t="inlineStr">
        <is>
          <t>Deload</t>
        </is>
      </c>
      <c r="C226" s="30" t="n">
        <v>4</v>
      </c>
      <c r="D226" s="31" t="inlineStr">
        <is>
          <t>Friday — Bench variant / upper body</t>
        </is>
      </c>
      <c r="E226" s="32" t="n">
        <v>2</v>
      </c>
      <c r="F226" s="31" t="inlineStr">
        <is>
          <t>Lat pulldown</t>
        </is>
      </c>
      <c r="G226" s="32" t="inlineStr">
        <is>
          <t>Accessory</t>
        </is>
      </c>
      <c r="H226" s="32" t="inlineStr">
        <is>
          <t>-</t>
        </is>
      </c>
      <c r="I226" s="30" t="n">
        <v>2</v>
      </c>
      <c r="J226" s="30" t="inlineStr">
        <is>
          <t>10</t>
        </is>
      </c>
      <c r="K226" s="30" t="inlineStr"/>
      <c r="L226" s="32" t="inlineStr"/>
      <c r="M226" s="32" t="inlineStr"/>
      <c r="N226" s="37" t="inlineStr"/>
      <c r="O226" s="8" t="inlineStr"/>
      <c r="P226" s="13" t="inlineStr"/>
      <c r="Q226" s="14" t="inlineStr">
        <is>
          <t>[ ]</t>
        </is>
      </c>
    </row>
    <row r="227" ht="22" customHeight="1">
      <c r="A227" s="38" t="n">
        <v>10</v>
      </c>
      <c r="B227" s="43" t="inlineStr">
        <is>
          <t>Deload</t>
        </is>
      </c>
      <c r="C227" s="39" t="n">
        <v>4</v>
      </c>
      <c r="D227" s="40" t="inlineStr">
        <is>
          <t>Friday — Bench variant / upper body</t>
        </is>
      </c>
      <c r="E227" s="41" t="n">
        <v>3</v>
      </c>
      <c r="F227" s="40" t="inlineStr">
        <is>
          <t>Lateral raise</t>
        </is>
      </c>
      <c r="G227" s="41" t="inlineStr">
        <is>
          <t>Accessory</t>
        </is>
      </c>
      <c r="H227" s="41" t="inlineStr">
        <is>
          <t>-</t>
        </is>
      </c>
      <c r="I227" s="39" t="n">
        <v>2</v>
      </c>
      <c r="J227" s="39" t="inlineStr">
        <is>
          <t>12-15</t>
        </is>
      </c>
      <c r="K227" s="39" t="inlineStr"/>
      <c r="L227" s="32" t="inlineStr"/>
      <c r="M227" s="41" t="inlineStr"/>
      <c r="N227" s="37" t="inlineStr"/>
      <c r="O227" s="8" t="inlineStr"/>
      <c r="P227" s="13" t="inlineStr"/>
      <c r="Q227" s="14" t="inlineStr">
        <is>
          <t>[ ]</t>
        </is>
      </c>
    </row>
    <row r="228" ht="22" customHeight="1">
      <c r="A228" s="28" t="n">
        <v>10</v>
      </c>
      <c r="B228" s="43" t="inlineStr">
        <is>
          <t>Deload</t>
        </is>
      </c>
      <c r="C228" s="30" t="n">
        <v>4</v>
      </c>
      <c r="D228" s="31" t="inlineStr">
        <is>
          <t>Friday — Bench variant / upper body</t>
        </is>
      </c>
      <c r="E228" s="32" t="n">
        <v>4</v>
      </c>
      <c r="F228" s="31" t="inlineStr">
        <is>
          <t>Curl</t>
        </is>
      </c>
      <c r="G228" s="32" t="inlineStr">
        <is>
          <t>Accessory</t>
        </is>
      </c>
      <c r="H228" s="32" t="inlineStr">
        <is>
          <t>-</t>
        </is>
      </c>
      <c r="I228" s="30" t="n">
        <v>2</v>
      </c>
      <c r="J228" s="30" t="inlineStr">
        <is>
          <t>10</t>
        </is>
      </c>
      <c r="K228" s="30" t="inlineStr"/>
      <c r="L228" s="32" t="inlineStr"/>
      <c r="M228" s="32" t="inlineStr"/>
      <c r="N228" s="37" t="inlineStr"/>
      <c r="O228" s="8" t="inlineStr"/>
      <c r="P228" s="13" t="inlineStr"/>
      <c r="Q228" s="14" t="inlineStr">
        <is>
          <t>[ ]</t>
        </is>
      </c>
    </row>
    <row r="229" ht="22" customHeight="1">
      <c r="A229" s="28" t="n">
        <v>10</v>
      </c>
      <c r="B229" s="43" t="inlineStr">
        <is>
          <t>Deload</t>
        </is>
      </c>
      <c r="C229" s="30" t="n">
        <v>5</v>
      </c>
      <c r="D229" s="31" t="inlineStr">
        <is>
          <t>Saturday — Squat variant + Bent-over row</t>
        </is>
      </c>
      <c r="E229" s="32" t="n">
        <v>1</v>
      </c>
      <c r="F229" s="33" t="inlineStr">
        <is>
          <t>High-bar squat</t>
        </is>
      </c>
      <c r="G229" s="34" t="inlineStr">
        <is>
          <t>Main Lift</t>
        </is>
      </c>
      <c r="H229" s="32" t="inlineStr">
        <is>
          <t>SQUAT</t>
        </is>
      </c>
      <c r="I229" s="28" t="n">
        <v>2</v>
      </c>
      <c r="J229" s="28" t="inlineStr">
        <is>
          <t>2</t>
        </is>
      </c>
      <c r="K229" s="28" t="inlineStr">
        <is>
          <t>60%</t>
        </is>
      </c>
      <c r="L229" s="35">
        <f>ROUND('Setup &amp; Dashboard'!$C$7*0.6/5, 0)*5</f>
        <v/>
      </c>
      <c r="M229" s="32" t="inlineStr"/>
      <c r="N229" s="36" t="inlineStr">
        <is>
          <t>Easy deload; reduce fatigue</t>
        </is>
      </c>
      <c r="O229" s="8" t="inlineStr"/>
      <c r="P229" s="13" t="inlineStr"/>
      <c r="Q229" s="14" t="inlineStr">
        <is>
          <t>[ ]</t>
        </is>
      </c>
    </row>
    <row r="230" ht="22" customHeight="1">
      <c r="A230" s="28" t="n">
        <v>10</v>
      </c>
      <c r="B230" s="43" t="inlineStr">
        <is>
          <t>Deload</t>
        </is>
      </c>
      <c r="C230" s="30" t="n">
        <v>5</v>
      </c>
      <c r="D230" s="31" t="inlineStr">
        <is>
          <t>Saturday — Squat variant + Bent-over row</t>
        </is>
      </c>
      <c r="E230" s="32" t="n">
        <v>2</v>
      </c>
      <c r="F230" s="31" t="inlineStr">
        <is>
          <t>Bent-over row</t>
        </is>
      </c>
      <c r="G230" s="32" t="inlineStr">
        <is>
          <t>Accessory</t>
        </is>
      </c>
      <c r="H230" s="32" t="inlineStr">
        <is>
          <t>ROW</t>
        </is>
      </c>
      <c r="I230" s="30" t="n">
        <v>4</v>
      </c>
      <c r="J230" s="30" t="inlineStr">
        <is>
          <t>4-6</t>
        </is>
      </c>
      <c r="K230" s="30" t="inlineStr">
        <is>
          <t>Linear +5lb</t>
        </is>
      </c>
      <c r="L230" s="35">
        <f>'Setup &amp; Dashboard'!$C$10+(10-1)*5</f>
        <v/>
      </c>
      <c r="M230" s="32" t="inlineStr"/>
      <c r="N230" s="36" t="inlineStr">
        <is>
          <t>4 strict sets. Add 5 lb next exposure only when every set is clean and ≤RPE 8; deload load/reps, no failure.</t>
        </is>
      </c>
      <c r="O230" s="8" t="inlineStr"/>
      <c r="P230" s="13" t="inlineStr"/>
      <c r="Q230" s="14" t="inlineStr">
        <is>
          <t>[ ]</t>
        </is>
      </c>
    </row>
    <row r="231" ht="22" customHeight="1">
      <c r="A231" s="38" t="n">
        <v>10</v>
      </c>
      <c r="B231" s="43" t="inlineStr">
        <is>
          <t>Deload</t>
        </is>
      </c>
      <c r="C231" s="39" t="n">
        <v>5</v>
      </c>
      <c r="D231" s="40" t="inlineStr">
        <is>
          <t>Saturday — Squat variant + Bent-over row</t>
        </is>
      </c>
      <c r="E231" s="41" t="n">
        <v>3</v>
      </c>
      <c r="F231" s="40" t="inlineStr">
        <is>
          <t>Reverse hyper</t>
        </is>
      </c>
      <c r="G231" s="41" t="inlineStr">
        <is>
          <t>Accessory</t>
        </is>
      </c>
      <c r="H231" s="41" t="inlineStr">
        <is>
          <t>-</t>
        </is>
      </c>
      <c r="I231" s="39" t="n">
        <v>1</v>
      </c>
      <c r="J231" s="39" t="inlineStr">
        <is>
          <t>10</t>
        </is>
      </c>
      <c r="K231" s="39" t="inlineStr"/>
      <c r="L231" s="32" t="inlineStr"/>
      <c r="M231" s="41" t="inlineStr"/>
      <c r="N231" s="37" t="inlineStr"/>
      <c r="O231" s="8" t="inlineStr"/>
      <c r="P231" s="13" t="inlineStr"/>
      <c r="Q231" s="14" t="inlineStr">
        <is>
          <t>[ ]</t>
        </is>
      </c>
    </row>
    <row r="232" ht="22" customHeight="1">
      <c r="A232" s="28" t="n">
        <v>11</v>
      </c>
      <c r="B232" s="45" t="inlineStr">
        <is>
          <t>Peak / Realization</t>
        </is>
      </c>
      <c r="C232" s="30" t="n">
        <v>1</v>
      </c>
      <c r="D232" s="31" t="inlineStr">
        <is>
          <t>Monday — Squat</t>
        </is>
      </c>
      <c r="E232" s="32" t="n">
        <v>1</v>
      </c>
      <c r="F232" s="33" t="inlineStr">
        <is>
          <t>Squat — top single</t>
        </is>
      </c>
      <c r="G232" s="34" t="inlineStr">
        <is>
          <t>Main Lift</t>
        </is>
      </c>
      <c r="H232" s="32" t="inlineStr">
        <is>
          <t>SQUAT</t>
        </is>
      </c>
      <c r="I232" s="28" t="n">
        <v>1</v>
      </c>
      <c r="J232" s="28" t="inlineStr">
        <is>
          <t>1</t>
        </is>
      </c>
      <c r="K232" s="28" t="inlineStr">
        <is>
          <t>90%</t>
        </is>
      </c>
      <c r="L232" s="35">
        <f>ROUND('Setup &amp; Dashboard'!$C$7*0.9/5, 0)*5</f>
        <v/>
      </c>
      <c r="M232" s="28" t="inlineStr">
        <is>
          <t>RPE 8-9</t>
        </is>
      </c>
      <c r="N232" s="37" t="inlineStr"/>
      <c r="O232" s="8" t="inlineStr"/>
      <c r="P232" s="13" t="inlineStr"/>
      <c r="Q232" s="14" t="inlineStr">
        <is>
          <t>[ ]</t>
        </is>
      </c>
    </row>
    <row r="233" ht="22" customHeight="1">
      <c r="A233" s="28" t="n">
        <v>11</v>
      </c>
      <c r="B233" s="45" t="inlineStr">
        <is>
          <t>Peak / Realization</t>
        </is>
      </c>
      <c r="C233" s="30" t="n">
        <v>1</v>
      </c>
      <c r="D233" s="31" t="inlineStr">
        <is>
          <t>Monday — Squat</t>
        </is>
      </c>
      <c r="E233" s="32" t="n">
        <v>2</v>
      </c>
      <c r="F233" s="33" t="inlineStr">
        <is>
          <t>Squat — back-off</t>
        </is>
      </c>
      <c r="G233" s="34" t="inlineStr">
        <is>
          <t>Main Lift</t>
        </is>
      </c>
      <c r="H233" s="32" t="inlineStr">
        <is>
          <t>SQUAT</t>
        </is>
      </c>
      <c r="I233" s="28" t="n">
        <v>2</v>
      </c>
      <c r="J233" s="28" t="inlineStr">
        <is>
          <t>1</t>
        </is>
      </c>
      <c r="K233" s="28" t="inlineStr">
        <is>
          <t>82%</t>
        </is>
      </c>
      <c r="L233" s="35">
        <f>ROUND('Setup &amp; Dashboard'!$C$7*0.82/5, 0)*5</f>
        <v/>
      </c>
      <c r="M233" s="28" t="inlineStr">
        <is>
          <t>RPE 6-7</t>
        </is>
      </c>
      <c r="N233" s="36" t="inlineStr">
        <is>
          <t>Crisp</t>
        </is>
      </c>
      <c r="O233" s="8" t="inlineStr"/>
      <c r="P233" s="13" t="inlineStr"/>
      <c r="Q233" s="14" t="inlineStr">
        <is>
          <t>[ ]</t>
        </is>
      </c>
    </row>
    <row r="234" ht="22" customHeight="1">
      <c r="A234" s="28" t="n">
        <v>11</v>
      </c>
      <c r="B234" s="45" t="inlineStr">
        <is>
          <t>Peak / Realization</t>
        </is>
      </c>
      <c r="C234" s="30" t="n">
        <v>1</v>
      </c>
      <c r="D234" s="31" t="inlineStr">
        <is>
          <t>Monday — Squat</t>
        </is>
      </c>
      <c r="E234" s="32" t="n">
        <v>3</v>
      </c>
      <c r="F234" s="31" t="inlineStr">
        <is>
          <t>Copenhagen plank</t>
        </is>
      </c>
      <c r="G234" s="32" t="inlineStr">
        <is>
          <t>Accessory</t>
        </is>
      </c>
      <c r="H234" s="32" t="inlineStr">
        <is>
          <t>-</t>
        </is>
      </c>
      <c r="I234" s="30" t="n">
        <v>2</v>
      </c>
      <c r="J234" s="30" t="inlineStr">
        <is>
          <t>15sec/side</t>
        </is>
      </c>
      <c r="K234" s="30" t="inlineStr"/>
      <c r="L234" s="32" t="inlineStr"/>
      <c r="M234" s="32" t="inlineStr"/>
      <c r="N234" s="37" t="inlineStr"/>
      <c r="O234" s="8" t="inlineStr"/>
      <c r="P234" s="13" t="inlineStr"/>
      <c r="Q234" s="14" t="inlineStr">
        <is>
          <t>[ ]</t>
        </is>
      </c>
    </row>
    <row r="235" ht="22" customHeight="1">
      <c r="A235" s="38" t="n">
        <v>11</v>
      </c>
      <c r="B235" s="45" t="inlineStr">
        <is>
          <t>Peak / Realization</t>
        </is>
      </c>
      <c r="C235" s="39" t="n">
        <v>1</v>
      </c>
      <c r="D235" s="40" t="inlineStr">
        <is>
          <t>Monday — Squat</t>
        </is>
      </c>
      <c r="E235" s="41" t="n">
        <v>4</v>
      </c>
      <c r="F235" s="40" t="inlineStr">
        <is>
          <t>Pallof press</t>
        </is>
      </c>
      <c r="G235" s="41" t="inlineStr">
        <is>
          <t>Accessory</t>
        </is>
      </c>
      <c r="H235" s="41" t="inlineStr">
        <is>
          <t>-</t>
        </is>
      </c>
      <c r="I235" s="39" t="n">
        <v>2</v>
      </c>
      <c r="J235" s="39" t="inlineStr">
        <is>
          <t>8/side</t>
        </is>
      </c>
      <c r="K235" s="39" t="inlineStr"/>
      <c r="L235" s="32" t="inlineStr"/>
      <c r="M235" s="41" t="inlineStr"/>
      <c r="N235" s="37" t="inlineStr"/>
      <c r="O235" s="8" t="inlineStr"/>
      <c r="P235" s="13" t="inlineStr"/>
      <c r="Q235" s="14" t="inlineStr">
        <is>
          <t>[ ]</t>
        </is>
      </c>
    </row>
    <row r="236" ht="22" customHeight="1">
      <c r="A236" s="28" t="n">
        <v>11</v>
      </c>
      <c r="B236" s="45" t="inlineStr">
        <is>
          <t>Peak / Realization</t>
        </is>
      </c>
      <c r="C236" s="30" t="n">
        <v>2</v>
      </c>
      <c r="D236" s="31" t="inlineStr">
        <is>
          <t>Tuesday — Bench</t>
        </is>
      </c>
      <c r="E236" s="32" t="n">
        <v>1</v>
      </c>
      <c r="F236" s="33" t="inlineStr">
        <is>
          <t>Bench — top single</t>
        </is>
      </c>
      <c r="G236" s="34" t="inlineStr">
        <is>
          <t>Main Lift</t>
        </is>
      </c>
      <c r="H236" s="32" t="inlineStr">
        <is>
          <t>BENCH</t>
        </is>
      </c>
      <c r="I236" s="28" t="n">
        <v>1</v>
      </c>
      <c r="J236" s="28" t="inlineStr">
        <is>
          <t>1</t>
        </is>
      </c>
      <c r="K236" s="28" t="inlineStr">
        <is>
          <t>90%</t>
        </is>
      </c>
      <c r="L236" s="35">
        <f>ROUND('Setup &amp; Dashboard'!$C$8*0.9/5, 0)*5</f>
        <v/>
      </c>
      <c r="M236" s="28" t="inlineStr">
        <is>
          <t>RPE 8-9 cap</t>
        </is>
      </c>
      <c r="N236" s="37" t="inlineStr"/>
      <c r="O236" s="8" t="inlineStr"/>
      <c r="P236" s="13" t="inlineStr"/>
      <c r="Q236" s="14" t="inlineStr">
        <is>
          <t>[ ]</t>
        </is>
      </c>
    </row>
    <row r="237" ht="22" customHeight="1">
      <c r="A237" s="28" t="n">
        <v>11</v>
      </c>
      <c r="B237" s="45" t="inlineStr">
        <is>
          <t>Peak / Realization</t>
        </is>
      </c>
      <c r="C237" s="30" t="n">
        <v>2</v>
      </c>
      <c r="D237" s="31" t="inlineStr">
        <is>
          <t>Tuesday — Bench</t>
        </is>
      </c>
      <c r="E237" s="32" t="n">
        <v>2</v>
      </c>
      <c r="F237" s="33" t="inlineStr">
        <is>
          <t>Bench — back-off</t>
        </is>
      </c>
      <c r="G237" s="34" t="inlineStr">
        <is>
          <t>Main Lift</t>
        </is>
      </c>
      <c r="H237" s="32" t="inlineStr">
        <is>
          <t>BENCH</t>
        </is>
      </c>
      <c r="I237" s="28" t="n">
        <v>4</v>
      </c>
      <c r="J237" s="28" t="inlineStr">
        <is>
          <t>1</t>
        </is>
      </c>
      <c r="K237" s="28" t="inlineStr">
        <is>
          <t>82%</t>
        </is>
      </c>
      <c r="L237" s="35">
        <f>ROUND('Setup &amp; Dashboard'!$C$8*0.82/5, 0)*5</f>
        <v/>
      </c>
      <c r="M237" s="32" t="inlineStr"/>
      <c r="N237" s="36" t="inlineStr">
        <is>
          <t>Crisp reps, stop if speed drops</t>
        </is>
      </c>
      <c r="O237" s="8" t="inlineStr"/>
      <c r="P237" s="13" t="inlineStr"/>
      <c r="Q237" s="14" t="inlineStr">
        <is>
          <t>[ ]</t>
        </is>
      </c>
    </row>
    <row r="238" ht="22" customHeight="1">
      <c r="A238" s="28" t="n">
        <v>11</v>
      </c>
      <c r="B238" s="45" t="inlineStr">
        <is>
          <t>Peak / Realization</t>
        </is>
      </c>
      <c r="C238" s="30" t="n">
        <v>2</v>
      </c>
      <c r="D238" s="31" t="inlineStr">
        <is>
          <t>Tuesday — Bench</t>
        </is>
      </c>
      <c r="E238" s="32" t="n">
        <v>3</v>
      </c>
      <c r="F238" s="31" t="inlineStr">
        <is>
          <t>Close-grip bench</t>
        </is>
      </c>
      <c r="G238" s="32" t="inlineStr">
        <is>
          <t>Accessory</t>
        </is>
      </c>
      <c r="H238" s="32" t="inlineStr">
        <is>
          <t>-</t>
        </is>
      </c>
      <c r="I238" s="30" t="n">
        <v>2</v>
      </c>
      <c r="J238" s="30" t="inlineStr">
        <is>
          <t>3</t>
        </is>
      </c>
      <c r="K238" s="30" t="inlineStr"/>
      <c r="L238" s="32" t="inlineStr"/>
      <c r="M238" s="32" t="inlineStr"/>
      <c r="N238" s="37" t="inlineStr"/>
      <c r="O238" s="8" t="inlineStr"/>
      <c r="P238" s="13" t="inlineStr"/>
      <c r="Q238" s="14" t="inlineStr">
        <is>
          <t>[ ]</t>
        </is>
      </c>
    </row>
    <row r="239" ht="22" customHeight="1">
      <c r="A239" s="38" t="n">
        <v>11</v>
      </c>
      <c r="B239" s="45" t="inlineStr">
        <is>
          <t>Peak / Realization</t>
        </is>
      </c>
      <c r="C239" s="39" t="n">
        <v>2</v>
      </c>
      <c r="D239" s="40" t="inlineStr">
        <is>
          <t>Tuesday — Bench</t>
        </is>
      </c>
      <c r="E239" s="41" t="n">
        <v>4</v>
      </c>
      <c r="F239" s="40" t="inlineStr">
        <is>
          <t>Face pull</t>
        </is>
      </c>
      <c r="G239" s="41" t="inlineStr">
        <is>
          <t>Accessory</t>
        </is>
      </c>
      <c r="H239" s="41" t="inlineStr">
        <is>
          <t>-</t>
        </is>
      </c>
      <c r="I239" s="39" t="n">
        <v>2</v>
      </c>
      <c r="J239" s="39" t="inlineStr">
        <is>
          <t>15</t>
        </is>
      </c>
      <c r="K239" s="39" t="inlineStr"/>
      <c r="L239" s="32" t="inlineStr"/>
      <c r="M239" s="41" t="inlineStr"/>
      <c r="N239" s="37" t="inlineStr"/>
      <c r="O239" s="8" t="inlineStr"/>
      <c r="P239" s="13" t="inlineStr"/>
      <c r="Q239" s="14" t="inlineStr">
        <is>
          <t>[ ]</t>
        </is>
      </c>
    </row>
    <row r="240" ht="22" customHeight="1">
      <c r="A240" s="28" t="n">
        <v>11</v>
      </c>
      <c r="B240" s="45" t="inlineStr">
        <is>
          <t>Peak / Realization</t>
        </is>
      </c>
      <c r="C240" s="30" t="n">
        <v>3</v>
      </c>
      <c r="D240" s="31" t="inlineStr">
        <is>
          <t>Thursday — Deadlift</t>
        </is>
      </c>
      <c r="E240" s="32" t="n">
        <v>1</v>
      </c>
      <c r="F240" s="33" t="inlineStr">
        <is>
          <t>Deadlift</t>
        </is>
      </c>
      <c r="G240" s="34" t="inlineStr">
        <is>
          <t>Main Lift</t>
        </is>
      </c>
      <c r="H240" s="32" t="inlineStr">
        <is>
          <t>DEADLIFT</t>
        </is>
      </c>
      <c r="I240" s="28" t="n">
        <v>1</v>
      </c>
      <c r="J240" s="28" t="inlineStr">
        <is>
          <t>1</t>
        </is>
      </c>
      <c r="K240" s="28" t="inlineStr">
        <is>
          <t>88%</t>
        </is>
      </c>
      <c r="L240" s="35">
        <f>ROUND('Setup &amp; Dashboard'!$C$9*0.88/5, 0)*5</f>
        <v/>
      </c>
      <c r="M240" s="28" t="inlineStr">
        <is>
          <t>RPE 8-9</t>
        </is>
      </c>
      <c r="N240" s="37" t="inlineStr"/>
      <c r="O240" s="8" t="inlineStr"/>
      <c r="P240" s="13" t="inlineStr"/>
      <c r="Q240" s="14" t="inlineStr">
        <is>
          <t>[ ]</t>
        </is>
      </c>
    </row>
    <row r="241" ht="22" customHeight="1">
      <c r="A241" s="28" t="n">
        <v>11</v>
      </c>
      <c r="B241" s="45" t="inlineStr">
        <is>
          <t>Peak / Realization</t>
        </is>
      </c>
      <c r="C241" s="30" t="n">
        <v>3</v>
      </c>
      <c r="D241" s="31" t="inlineStr">
        <is>
          <t>Thursday — Deadlift</t>
        </is>
      </c>
      <c r="E241" s="32" t="n">
        <v>2</v>
      </c>
      <c r="F241" s="33" t="inlineStr">
        <is>
          <t>1.5-rep deadlift (knee height)</t>
        </is>
      </c>
      <c r="G241" s="34" t="inlineStr">
        <is>
          <t>Main Lift</t>
        </is>
      </c>
      <c r="H241" s="32" t="inlineStr">
        <is>
          <t>DEADLIFT</t>
        </is>
      </c>
      <c r="I241" s="28" t="n">
        <v>3</v>
      </c>
      <c r="J241" s="28" t="inlineStr">
        <is>
          <t>3</t>
        </is>
      </c>
      <c r="K241" s="28" t="inlineStr">
        <is>
          <t>60% + 50 lb</t>
        </is>
      </c>
      <c r="L241" s="35">
        <f>ROUND('Setup &amp; Dashboard'!$C$9*0.6/5, 0)*5+50</f>
        <v/>
      </c>
      <c r="M241" s="32" t="inlineStr"/>
      <c r="N241" s="36" t="inlineStr">
        <is>
          <t>Reset every rep; lower to just below knee, return to lockout, then lower fully. W1 60% DL max; add +5 lb/week only if clean and ≤RPE 7. Deload: 2x3 @55% max.</t>
        </is>
      </c>
      <c r="O241" s="8" t="inlineStr"/>
      <c r="P241" s="13" t="inlineStr"/>
      <c r="Q241" s="14" t="inlineStr">
        <is>
          <t>[ ]</t>
        </is>
      </c>
    </row>
    <row r="242" ht="22" customHeight="1">
      <c r="A242" s="28" t="n">
        <v>11</v>
      </c>
      <c r="B242" s="45" t="inlineStr">
        <is>
          <t>Peak / Realization</t>
        </is>
      </c>
      <c r="C242" s="30" t="n">
        <v>3</v>
      </c>
      <c r="D242" s="31" t="inlineStr">
        <is>
          <t>Thursday — Deadlift</t>
        </is>
      </c>
      <c r="E242" s="32" t="n">
        <v>3</v>
      </c>
      <c r="F242" s="31" t="inlineStr">
        <is>
          <t>Reverse hyper</t>
        </is>
      </c>
      <c r="G242" s="32" t="inlineStr">
        <is>
          <t>Accessory</t>
        </is>
      </c>
      <c r="H242" s="32" t="inlineStr">
        <is>
          <t>-</t>
        </is>
      </c>
      <c r="I242" s="30" t="n">
        <v>2</v>
      </c>
      <c r="J242" s="30" t="inlineStr">
        <is>
          <t>10</t>
        </is>
      </c>
      <c r="K242" s="30" t="inlineStr"/>
      <c r="L242" s="32" t="inlineStr"/>
      <c r="M242" s="32" t="inlineStr"/>
      <c r="N242" s="37" t="inlineStr"/>
      <c r="O242" s="8" t="inlineStr"/>
      <c r="P242" s="13" t="inlineStr"/>
      <c r="Q242" s="14" t="inlineStr">
        <is>
          <t>[ ]</t>
        </is>
      </c>
    </row>
    <row r="243" ht="22" customHeight="1">
      <c r="A243" s="28" t="n">
        <v>11</v>
      </c>
      <c r="B243" s="45" t="inlineStr">
        <is>
          <t>Peak / Realization</t>
        </is>
      </c>
      <c r="C243" s="30" t="n">
        <v>4</v>
      </c>
      <c r="D243" s="31" t="inlineStr">
        <is>
          <t>Friday — Bench variant / upper body</t>
        </is>
      </c>
      <c r="E243" s="32" t="n">
        <v>1</v>
      </c>
      <c r="F243" s="33" t="inlineStr">
        <is>
          <t>Competition-style bench</t>
        </is>
      </c>
      <c r="G243" s="34" t="inlineStr">
        <is>
          <t>Main Lift</t>
        </is>
      </c>
      <c r="H243" s="32" t="inlineStr">
        <is>
          <t>BENCH</t>
        </is>
      </c>
      <c r="I243" s="28" t="n">
        <v>2</v>
      </c>
      <c r="J243" s="28" t="inlineStr">
        <is>
          <t>2</t>
        </is>
      </c>
      <c r="K243" s="28" t="inlineStr">
        <is>
          <t>75%</t>
        </is>
      </c>
      <c r="L243" s="35">
        <f>ROUND('Setup &amp; Dashboard'!$C$8*0.75/5, 0)*5</f>
        <v/>
      </c>
      <c r="M243" s="28" t="inlineStr">
        <is>
          <t>RPE 7</t>
        </is>
      </c>
      <c r="N243" s="37" t="inlineStr"/>
      <c r="O243" s="8" t="inlineStr"/>
      <c r="P243" s="13" t="inlineStr"/>
      <c r="Q243" s="14" t="inlineStr">
        <is>
          <t>[ ]</t>
        </is>
      </c>
    </row>
    <row r="244" ht="22" customHeight="1">
      <c r="A244" s="28" t="n">
        <v>11</v>
      </c>
      <c r="B244" s="45" t="inlineStr">
        <is>
          <t>Peak / Realization</t>
        </is>
      </c>
      <c r="C244" s="30" t="n">
        <v>4</v>
      </c>
      <c r="D244" s="31" t="inlineStr">
        <is>
          <t>Friday — Bench variant / upper body</t>
        </is>
      </c>
      <c r="E244" s="32" t="n">
        <v>2</v>
      </c>
      <c r="F244" s="31" t="inlineStr">
        <is>
          <t>Lat pulldown</t>
        </is>
      </c>
      <c r="G244" s="32" t="inlineStr">
        <is>
          <t>Accessory</t>
        </is>
      </c>
      <c r="H244" s="32" t="inlineStr">
        <is>
          <t>-</t>
        </is>
      </c>
      <c r="I244" s="30" t="n">
        <v>2</v>
      </c>
      <c r="J244" s="30" t="inlineStr">
        <is>
          <t>8-10</t>
        </is>
      </c>
      <c r="K244" s="30" t="inlineStr"/>
      <c r="L244" s="32" t="inlineStr"/>
      <c r="M244" s="32" t="inlineStr"/>
      <c r="N244" s="37" t="inlineStr"/>
      <c r="O244" s="8" t="inlineStr"/>
      <c r="P244" s="13" t="inlineStr"/>
      <c r="Q244" s="14" t="inlineStr">
        <is>
          <t>[ ]</t>
        </is>
      </c>
    </row>
    <row r="245" ht="22" customHeight="1">
      <c r="A245" s="38" t="n">
        <v>11</v>
      </c>
      <c r="B245" s="45" t="inlineStr">
        <is>
          <t>Peak / Realization</t>
        </is>
      </c>
      <c r="C245" s="39" t="n">
        <v>4</v>
      </c>
      <c r="D245" s="40" t="inlineStr">
        <is>
          <t>Friday — Bench variant / upper body</t>
        </is>
      </c>
      <c r="E245" s="41" t="n">
        <v>3</v>
      </c>
      <c r="F245" s="40" t="inlineStr">
        <is>
          <t>Lateral raise</t>
        </is>
      </c>
      <c r="G245" s="41" t="inlineStr">
        <is>
          <t>Accessory</t>
        </is>
      </c>
      <c r="H245" s="41" t="inlineStr">
        <is>
          <t>-</t>
        </is>
      </c>
      <c r="I245" s="39" t="n">
        <v>2</v>
      </c>
      <c r="J245" s="39" t="inlineStr">
        <is>
          <t>12-15</t>
        </is>
      </c>
      <c r="K245" s="39" t="inlineStr"/>
      <c r="L245" s="32" t="inlineStr"/>
      <c r="M245" s="41" t="inlineStr"/>
      <c r="N245" s="37" t="inlineStr"/>
      <c r="O245" s="8" t="inlineStr"/>
      <c r="P245" s="13" t="inlineStr"/>
      <c r="Q245" s="14" t="inlineStr">
        <is>
          <t>[ ]</t>
        </is>
      </c>
    </row>
    <row r="246" ht="22" customHeight="1">
      <c r="A246" s="28" t="n">
        <v>11</v>
      </c>
      <c r="B246" s="45" t="inlineStr">
        <is>
          <t>Peak / Realization</t>
        </is>
      </c>
      <c r="C246" s="30" t="n">
        <v>5</v>
      </c>
      <c r="D246" s="31" t="inlineStr">
        <is>
          <t>Saturday — Squat variant + Bent-over row</t>
        </is>
      </c>
      <c r="E246" s="32" t="n">
        <v>1</v>
      </c>
      <c r="F246" s="33" t="inlineStr">
        <is>
          <t>High-bar squat</t>
        </is>
      </c>
      <c r="G246" s="34" t="inlineStr">
        <is>
          <t>Main Lift</t>
        </is>
      </c>
      <c r="H246" s="32" t="inlineStr">
        <is>
          <t>SQUAT</t>
        </is>
      </c>
      <c r="I246" s="28" t="n">
        <v>2</v>
      </c>
      <c r="J246" s="28" t="inlineStr">
        <is>
          <t>2</t>
        </is>
      </c>
      <c r="K246" s="28" t="inlineStr">
        <is>
          <t>75% + 15 lb</t>
        </is>
      </c>
      <c r="L246" s="35">
        <f>ROUND('Setup &amp; Dashboard'!$C$7*0.75/5, 0)*5+15</f>
        <v/>
      </c>
      <c r="M246" s="28" t="inlineStr">
        <is>
          <t>RPE ≤8</t>
        </is>
      </c>
      <c r="N246" s="36" t="inlineStr">
        <is>
          <t>Clean reps; no grinding</t>
        </is>
      </c>
      <c r="O246" s="8" t="inlineStr"/>
      <c r="P246" s="13" t="inlineStr"/>
      <c r="Q246" s="14" t="inlineStr">
        <is>
          <t>[ ]</t>
        </is>
      </c>
    </row>
    <row r="247" ht="22" customHeight="1">
      <c r="A247" s="38" t="n">
        <v>11</v>
      </c>
      <c r="B247" s="45" t="inlineStr">
        <is>
          <t>Peak / Realization</t>
        </is>
      </c>
      <c r="C247" s="39" t="n">
        <v>5</v>
      </c>
      <c r="D247" s="40" t="inlineStr">
        <is>
          <t>Saturday — Squat variant + Bent-over row</t>
        </is>
      </c>
      <c r="E247" s="41" t="n">
        <v>2</v>
      </c>
      <c r="F247" s="40" t="inlineStr">
        <is>
          <t>Bent-over row</t>
        </is>
      </c>
      <c r="G247" s="41" t="inlineStr">
        <is>
          <t>Accessory</t>
        </is>
      </c>
      <c r="H247" s="41" t="inlineStr">
        <is>
          <t>ROW</t>
        </is>
      </c>
      <c r="I247" s="39" t="n">
        <v>4</v>
      </c>
      <c r="J247" s="39" t="inlineStr">
        <is>
          <t>4-6</t>
        </is>
      </c>
      <c r="K247" s="39" t="inlineStr">
        <is>
          <t>Linear +5lb</t>
        </is>
      </c>
      <c r="L247" s="35">
        <f>'Setup &amp; Dashboard'!$C$10+(11-1)*5</f>
        <v/>
      </c>
      <c r="M247" s="41" t="inlineStr"/>
      <c r="N247" s="36" t="inlineStr">
        <is>
          <t>4 strict sets. Add 5 lb next exposure only when every set is clean and ≤RPE 8; deload load/reps, no failure.</t>
        </is>
      </c>
      <c r="O247" s="8" t="inlineStr"/>
      <c r="P247" s="13" t="inlineStr"/>
      <c r="Q247" s="14" t="inlineStr">
        <is>
          <t>[ ]</t>
        </is>
      </c>
    </row>
    <row r="248" ht="22" customHeight="1">
      <c r="A248" s="28" t="n">
        <v>11</v>
      </c>
      <c r="B248" s="45" t="inlineStr">
        <is>
          <t>Peak / Realization</t>
        </is>
      </c>
      <c r="C248" s="30" t="n">
        <v>5</v>
      </c>
      <c r="D248" s="31" t="inlineStr">
        <is>
          <t>Saturday — Squat variant + Bent-over row</t>
        </is>
      </c>
      <c r="E248" s="32" t="n">
        <v>3</v>
      </c>
      <c r="F248" s="31" t="inlineStr">
        <is>
          <t>Reverse hyper</t>
        </is>
      </c>
      <c r="G248" s="32" t="inlineStr">
        <is>
          <t>Accessory</t>
        </is>
      </c>
      <c r="H248" s="32" t="inlineStr">
        <is>
          <t>-</t>
        </is>
      </c>
      <c r="I248" s="30" t="n">
        <v>1</v>
      </c>
      <c r="J248" s="30" t="inlineStr">
        <is>
          <t>10</t>
        </is>
      </c>
      <c r="K248" s="30" t="inlineStr"/>
      <c r="L248" s="32" t="inlineStr"/>
      <c r="M248" s="32" t="inlineStr"/>
      <c r="N248" s="37" t="inlineStr"/>
      <c r="O248" s="8" t="inlineStr"/>
      <c r="P248" s="13" t="inlineStr"/>
      <c r="Q248" s="14" t="inlineStr">
        <is>
          <t>[ ]</t>
        </is>
      </c>
    </row>
    <row r="249" ht="22" customHeight="1">
      <c r="A249" s="28" t="n">
        <v>12</v>
      </c>
      <c r="B249" s="46" t="inlineStr">
        <is>
          <t>Taper</t>
        </is>
      </c>
      <c r="C249" s="30" t="n">
        <v>1</v>
      </c>
      <c r="D249" s="31" t="inlineStr">
        <is>
          <t>Monday — Squat</t>
        </is>
      </c>
      <c r="E249" s="32" t="n">
        <v>1</v>
      </c>
      <c r="F249" s="33" t="inlineStr">
        <is>
          <t>Squat — top single</t>
        </is>
      </c>
      <c r="G249" s="34" t="inlineStr">
        <is>
          <t>Main Lift</t>
        </is>
      </c>
      <c r="H249" s="32" t="inlineStr">
        <is>
          <t>SQUAT</t>
        </is>
      </c>
      <c r="I249" s="28" t="n">
        <v>1</v>
      </c>
      <c r="J249" s="28" t="inlineStr">
        <is>
          <t>1</t>
        </is>
      </c>
      <c r="K249" s="28" t="inlineStr">
        <is>
          <t>80%</t>
        </is>
      </c>
      <c r="L249" s="35">
        <f>ROUND('Setup &amp; Dashboard'!$C$7*0.8/5, 0)*5</f>
        <v/>
      </c>
      <c r="M249" s="28" t="inlineStr">
        <is>
          <t>RPE 7 cap</t>
        </is>
      </c>
      <c r="N249" s="36" t="inlineStr">
        <is>
          <t>Crisp only</t>
        </is>
      </c>
      <c r="O249" s="8" t="inlineStr"/>
      <c r="P249" s="13" t="inlineStr"/>
      <c r="Q249" s="14" t="inlineStr">
        <is>
          <t>[ ]</t>
        </is>
      </c>
    </row>
    <row r="250" ht="22" customHeight="1">
      <c r="A250" s="28" t="n">
        <v>12</v>
      </c>
      <c r="B250" s="46" t="inlineStr">
        <is>
          <t>Taper</t>
        </is>
      </c>
      <c r="C250" s="30" t="n">
        <v>1</v>
      </c>
      <c r="D250" s="31" t="inlineStr">
        <is>
          <t>Monday — Squat</t>
        </is>
      </c>
      <c r="E250" s="32" t="n">
        <v>2</v>
      </c>
      <c r="F250" s="33" t="inlineStr">
        <is>
          <t>Squat — back-off</t>
        </is>
      </c>
      <c r="G250" s="34" t="inlineStr">
        <is>
          <t>Main Lift</t>
        </is>
      </c>
      <c r="H250" s="32" t="inlineStr">
        <is>
          <t>SQUAT</t>
        </is>
      </c>
      <c r="I250" s="28" t="n">
        <v>2</v>
      </c>
      <c r="J250" s="28" t="inlineStr">
        <is>
          <t>1</t>
        </is>
      </c>
      <c r="K250" s="28" t="inlineStr">
        <is>
          <t>82%</t>
        </is>
      </c>
      <c r="L250" s="35">
        <f>ROUND('Setup &amp; Dashboard'!$C$7*0.82/5, 0)*5</f>
        <v/>
      </c>
      <c r="M250" s="28" t="inlineStr">
        <is>
          <t>RPE 6-7</t>
        </is>
      </c>
      <c r="N250" s="36" t="inlineStr">
        <is>
          <t>Taper volume</t>
        </is>
      </c>
      <c r="O250" s="8" t="inlineStr"/>
      <c r="P250" s="13" t="inlineStr"/>
      <c r="Q250" s="14" t="inlineStr">
        <is>
          <t>[ ]</t>
        </is>
      </c>
    </row>
    <row r="251" ht="22" customHeight="1">
      <c r="A251" s="38" t="n">
        <v>12</v>
      </c>
      <c r="B251" s="46" t="inlineStr">
        <is>
          <t>Taper</t>
        </is>
      </c>
      <c r="C251" s="39" t="n">
        <v>1</v>
      </c>
      <c r="D251" s="40" t="inlineStr">
        <is>
          <t>Monday — Squat</t>
        </is>
      </c>
      <c r="E251" s="41" t="n">
        <v>3</v>
      </c>
      <c r="F251" s="40" t="inlineStr">
        <is>
          <t>Pallof press</t>
        </is>
      </c>
      <c r="G251" s="41" t="inlineStr">
        <is>
          <t>Accessory</t>
        </is>
      </c>
      <c r="H251" s="41" t="inlineStr">
        <is>
          <t>-</t>
        </is>
      </c>
      <c r="I251" s="39" t="n">
        <v>1</v>
      </c>
      <c r="J251" s="39" t="inlineStr">
        <is>
          <t>8/side</t>
        </is>
      </c>
      <c r="K251" s="39" t="inlineStr"/>
      <c r="L251" s="32" t="inlineStr"/>
      <c r="M251" s="41" t="inlineStr"/>
      <c r="N251" s="37" t="inlineStr"/>
      <c r="O251" s="8" t="inlineStr"/>
      <c r="P251" s="13" t="inlineStr"/>
      <c r="Q251" s="14" t="inlineStr">
        <is>
          <t>[ ]</t>
        </is>
      </c>
    </row>
    <row r="252" ht="22" customHeight="1">
      <c r="A252" s="28" t="n">
        <v>12</v>
      </c>
      <c r="B252" s="46" t="inlineStr">
        <is>
          <t>Taper</t>
        </is>
      </c>
      <c r="C252" s="30" t="n">
        <v>2</v>
      </c>
      <c r="D252" s="31" t="inlineStr">
        <is>
          <t>Tuesday — Bench</t>
        </is>
      </c>
      <c r="E252" s="32" t="n">
        <v>1</v>
      </c>
      <c r="F252" s="33" t="inlineStr">
        <is>
          <t>Bench</t>
        </is>
      </c>
      <c r="G252" s="34" t="inlineStr">
        <is>
          <t>Main Lift</t>
        </is>
      </c>
      <c r="H252" s="32" t="inlineStr">
        <is>
          <t>BENCH</t>
        </is>
      </c>
      <c r="I252" s="28" t="n">
        <v>5</v>
      </c>
      <c r="J252" s="28" t="inlineStr">
        <is>
          <t>1</t>
        </is>
      </c>
      <c r="K252" s="28" t="inlineStr">
        <is>
          <t>85%</t>
        </is>
      </c>
      <c r="L252" s="35">
        <f>ROUND('Setup &amp; Dashboard'!$C$8*0.85/5, 0)*5</f>
        <v/>
      </c>
      <c r="M252" s="28" t="inlineStr">
        <is>
          <t>RPE 7-8</t>
        </is>
      </c>
      <c r="N252" s="37" t="inlineStr"/>
      <c r="O252" s="8" t="inlineStr"/>
      <c r="P252" s="13" t="inlineStr"/>
      <c r="Q252" s="14" t="inlineStr">
        <is>
          <t>[ ]</t>
        </is>
      </c>
    </row>
    <row r="253" ht="22" customHeight="1">
      <c r="A253" s="38" t="n">
        <v>12</v>
      </c>
      <c r="B253" s="46" t="inlineStr">
        <is>
          <t>Taper</t>
        </is>
      </c>
      <c r="C253" s="39" t="n">
        <v>2</v>
      </c>
      <c r="D253" s="40" t="inlineStr">
        <is>
          <t>Tuesday — Bench</t>
        </is>
      </c>
      <c r="E253" s="41" t="n">
        <v>2</v>
      </c>
      <c r="F253" s="40" t="inlineStr">
        <is>
          <t>Close-grip bench</t>
        </is>
      </c>
      <c r="G253" s="41" t="inlineStr">
        <is>
          <t>Accessory</t>
        </is>
      </c>
      <c r="H253" s="41" t="inlineStr">
        <is>
          <t>-</t>
        </is>
      </c>
      <c r="I253" s="39" t="n">
        <v>1</v>
      </c>
      <c r="J253" s="39" t="inlineStr">
        <is>
          <t>3</t>
        </is>
      </c>
      <c r="K253" s="39" t="inlineStr"/>
      <c r="L253" s="32" t="inlineStr"/>
      <c r="M253" s="41" t="inlineStr"/>
      <c r="N253" s="36" t="inlineStr">
        <is>
          <t>light</t>
        </is>
      </c>
      <c r="O253" s="8" t="inlineStr"/>
      <c r="P253" s="13" t="inlineStr"/>
      <c r="Q253" s="14" t="inlineStr">
        <is>
          <t>[ ]</t>
        </is>
      </c>
    </row>
    <row r="254" ht="22" customHeight="1">
      <c r="A254" s="28" t="n">
        <v>12</v>
      </c>
      <c r="B254" s="46" t="inlineStr">
        <is>
          <t>Taper</t>
        </is>
      </c>
      <c r="C254" s="30" t="n">
        <v>2</v>
      </c>
      <c r="D254" s="31" t="inlineStr">
        <is>
          <t>Tuesday — Bench</t>
        </is>
      </c>
      <c r="E254" s="32" t="n">
        <v>3</v>
      </c>
      <c r="F254" s="31" t="inlineStr">
        <is>
          <t>Face pull</t>
        </is>
      </c>
      <c r="G254" s="32" t="inlineStr">
        <is>
          <t>Accessory</t>
        </is>
      </c>
      <c r="H254" s="32" t="inlineStr">
        <is>
          <t>-</t>
        </is>
      </c>
      <c r="I254" s="30" t="n">
        <v>1</v>
      </c>
      <c r="J254" s="30" t="inlineStr">
        <is>
          <t>15</t>
        </is>
      </c>
      <c r="K254" s="30" t="inlineStr"/>
      <c r="L254" s="32" t="inlineStr"/>
      <c r="M254" s="32" t="inlineStr"/>
      <c r="N254" s="37" t="inlineStr"/>
      <c r="O254" s="8" t="inlineStr"/>
      <c r="P254" s="13" t="inlineStr"/>
      <c r="Q254" s="14" t="inlineStr">
        <is>
          <t>[ ]</t>
        </is>
      </c>
    </row>
    <row r="255" ht="22" customHeight="1">
      <c r="A255" s="28" t="n">
        <v>12</v>
      </c>
      <c r="B255" s="46" t="inlineStr">
        <is>
          <t>Taper</t>
        </is>
      </c>
      <c r="C255" s="30" t="n">
        <v>3</v>
      </c>
      <c r="D255" s="31" t="inlineStr">
        <is>
          <t>Thursday — Deadlift</t>
        </is>
      </c>
      <c r="E255" s="32" t="n">
        <v>1</v>
      </c>
      <c r="F255" s="33" t="inlineStr">
        <is>
          <t>Deadlift</t>
        </is>
      </c>
      <c r="G255" s="34" t="inlineStr">
        <is>
          <t>Main Lift</t>
        </is>
      </c>
      <c r="H255" s="32" t="inlineStr">
        <is>
          <t>DEADLIFT</t>
        </is>
      </c>
      <c r="I255" s="28" t="n">
        <v>2</v>
      </c>
      <c r="J255" s="28" t="inlineStr">
        <is>
          <t>1</t>
        </is>
      </c>
      <c r="K255" s="28" t="inlineStr">
        <is>
          <t>82%</t>
        </is>
      </c>
      <c r="L255" s="35">
        <f>ROUND('Setup &amp; Dashboard'!$C$9*0.82/5, 0)*5</f>
        <v/>
      </c>
      <c r="M255" s="28" t="inlineStr">
        <is>
          <t>RPE 7</t>
        </is>
      </c>
      <c r="N255" s="37" t="inlineStr"/>
      <c r="O255" s="8" t="inlineStr"/>
      <c r="P255" s="13" t="inlineStr"/>
      <c r="Q255" s="14" t="inlineStr">
        <is>
          <t>[ ]</t>
        </is>
      </c>
    </row>
    <row r="256" ht="22" customHeight="1">
      <c r="A256" s="28" t="n">
        <v>12</v>
      </c>
      <c r="B256" s="46" t="inlineStr">
        <is>
          <t>Taper</t>
        </is>
      </c>
      <c r="C256" s="30" t="n">
        <v>3</v>
      </c>
      <c r="D256" s="31" t="inlineStr">
        <is>
          <t>Thursday — Deadlift</t>
        </is>
      </c>
      <c r="E256" s="32" t="n">
        <v>2</v>
      </c>
      <c r="F256" s="33" t="inlineStr">
        <is>
          <t>1.5-rep deadlift (knee height)</t>
        </is>
      </c>
      <c r="G256" s="34" t="inlineStr">
        <is>
          <t>Main Lift</t>
        </is>
      </c>
      <c r="H256" s="32" t="inlineStr">
        <is>
          <t>DEADLIFT</t>
        </is>
      </c>
      <c r="I256" s="28" t="n">
        <v>3</v>
      </c>
      <c r="J256" s="28" t="inlineStr">
        <is>
          <t>3</t>
        </is>
      </c>
      <c r="K256" s="28" t="inlineStr">
        <is>
          <t>60% + 55 lb</t>
        </is>
      </c>
      <c r="L256" s="35">
        <f>ROUND('Setup &amp; Dashboard'!$C$9*0.6/5, 0)*5+55</f>
        <v/>
      </c>
      <c r="M256" s="32" t="inlineStr"/>
      <c r="N256" s="36" t="inlineStr">
        <is>
          <t>Reset every rep; lower to just below knee, return to lockout, then lower fully. W1 60% DL max; add +5 lb/week only if clean and ≤RPE 7. Deload: 2x3 @55% max.</t>
        </is>
      </c>
      <c r="O256" s="8" t="inlineStr"/>
      <c r="P256" s="13" t="inlineStr"/>
      <c r="Q256" s="14" t="inlineStr">
        <is>
          <t>[ ]</t>
        </is>
      </c>
    </row>
    <row r="257" ht="22" customHeight="1">
      <c r="A257" s="38" t="n">
        <v>12</v>
      </c>
      <c r="B257" s="46" t="inlineStr">
        <is>
          <t>Taper</t>
        </is>
      </c>
      <c r="C257" s="39" t="n">
        <v>3</v>
      </c>
      <c r="D257" s="40" t="inlineStr">
        <is>
          <t>Thursday — Deadlift</t>
        </is>
      </c>
      <c r="E257" s="41" t="n">
        <v>3</v>
      </c>
      <c r="F257" s="40" t="inlineStr">
        <is>
          <t>Reverse hyper</t>
        </is>
      </c>
      <c r="G257" s="41" t="inlineStr">
        <is>
          <t>Accessory</t>
        </is>
      </c>
      <c r="H257" s="41" t="inlineStr">
        <is>
          <t>-</t>
        </is>
      </c>
      <c r="I257" s="39" t="n">
        <v>1</v>
      </c>
      <c r="J257" s="39" t="inlineStr">
        <is>
          <t>10</t>
        </is>
      </c>
      <c r="K257" s="39" t="inlineStr"/>
      <c r="L257" s="32" t="inlineStr"/>
      <c r="M257" s="41" t="inlineStr"/>
      <c r="N257" s="37" t="inlineStr"/>
      <c r="O257" s="8" t="inlineStr"/>
      <c r="P257" s="13" t="inlineStr"/>
      <c r="Q257" s="14" t="inlineStr">
        <is>
          <t>[ ]</t>
        </is>
      </c>
    </row>
    <row r="258" ht="22" customHeight="1">
      <c r="A258" s="28" t="n">
        <v>12</v>
      </c>
      <c r="B258" s="46" t="inlineStr">
        <is>
          <t>Taper</t>
        </is>
      </c>
      <c r="C258" s="30" t="n">
        <v>4</v>
      </c>
      <c r="D258" s="31" t="inlineStr">
        <is>
          <t>Friday — Bench variant / upper body</t>
        </is>
      </c>
      <c r="E258" s="32" t="n">
        <v>1</v>
      </c>
      <c r="F258" s="33" t="inlineStr">
        <is>
          <t>Bench lockout support</t>
        </is>
      </c>
      <c r="G258" s="34" t="inlineStr">
        <is>
          <t>Main Lift</t>
        </is>
      </c>
      <c r="H258" s="32" t="inlineStr">
        <is>
          <t>BENCH</t>
        </is>
      </c>
      <c r="I258" s="28" t="n">
        <v>2</v>
      </c>
      <c r="J258" s="28" t="inlineStr">
        <is>
          <t>3</t>
        </is>
      </c>
      <c r="K258" s="28" t="inlineStr">
        <is>
          <t>65%</t>
        </is>
      </c>
      <c r="L258" s="35">
        <f>ROUND('Setup &amp; Dashboard'!$C$8*0.65/5, 0)*5</f>
        <v/>
      </c>
      <c r="M258" s="32" t="inlineStr"/>
      <c r="N258" s="37" t="inlineStr"/>
      <c r="O258" s="8" t="inlineStr"/>
      <c r="P258" s="13" t="inlineStr"/>
      <c r="Q258" s="14" t="inlineStr">
        <is>
          <t>[ ]</t>
        </is>
      </c>
    </row>
    <row r="259" ht="22" customHeight="1">
      <c r="A259" s="38" t="n">
        <v>12</v>
      </c>
      <c r="B259" s="46" t="inlineStr">
        <is>
          <t>Taper</t>
        </is>
      </c>
      <c r="C259" s="39" t="n">
        <v>4</v>
      </c>
      <c r="D259" s="40" t="inlineStr">
        <is>
          <t>Friday — Bench variant / upper body</t>
        </is>
      </c>
      <c r="E259" s="41" t="n">
        <v>2</v>
      </c>
      <c r="F259" s="40" t="inlineStr">
        <is>
          <t>Lat pulldown</t>
        </is>
      </c>
      <c r="G259" s="41" t="inlineStr">
        <is>
          <t>Accessory</t>
        </is>
      </c>
      <c r="H259" s="41" t="inlineStr">
        <is>
          <t>-</t>
        </is>
      </c>
      <c r="I259" s="39" t="n">
        <v>1</v>
      </c>
      <c r="J259" s="39" t="inlineStr">
        <is>
          <t>8</t>
        </is>
      </c>
      <c r="K259" s="39" t="inlineStr"/>
      <c r="L259" s="32" t="inlineStr"/>
      <c r="M259" s="41" t="inlineStr"/>
      <c r="N259" s="37" t="inlineStr"/>
      <c r="O259" s="8" t="inlineStr"/>
      <c r="P259" s="13" t="inlineStr"/>
      <c r="Q259" s="14" t="inlineStr">
        <is>
          <t>[ ]</t>
        </is>
      </c>
    </row>
    <row r="260" ht="22" customHeight="1">
      <c r="A260" s="28" t="n">
        <v>12</v>
      </c>
      <c r="B260" s="46" t="inlineStr">
        <is>
          <t>Taper</t>
        </is>
      </c>
      <c r="C260" s="30" t="n">
        <v>5</v>
      </c>
      <c r="D260" s="31" t="inlineStr">
        <is>
          <t>Saturday — Squat variant + Bent-over row</t>
        </is>
      </c>
      <c r="E260" s="32" t="n">
        <v>1</v>
      </c>
      <c r="F260" s="33" t="inlineStr">
        <is>
          <t>High-bar squat</t>
        </is>
      </c>
      <c r="G260" s="34" t="inlineStr">
        <is>
          <t>Main Lift</t>
        </is>
      </c>
      <c r="H260" s="32" t="inlineStr">
        <is>
          <t>SQUAT</t>
        </is>
      </c>
      <c r="I260" s="28" t="n">
        <v>2</v>
      </c>
      <c r="J260" s="28" t="inlineStr">
        <is>
          <t>3</t>
        </is>
      </c>
      <c r="K260" s="28" t="inlineStr">
        <is>
          <t>60%</t>
        </is>
      </c>
      <c r="L260" s="35">
        <f>ROUND('Setup &amp; Dashboard'!$C$7*0.6/5, 0)*5</f>
        <v/>
      </c>
      <c r="M260" s="32" t="inlineStr"/>
      <c r="N260" s="37" t="inlineStr"/>
      <c r="O260" s="8" t="inlineStr"/>
      <c r="P260" s="13" t="inlineStr"/>
      <c r="Q260" s="14" t="inlineStr">
        <is>
          <t>[ ]</t>
        </is>
      </c>
    </row>
    <row r="261" ht="22" customHeight="1">
      <c r="A261" s="38" t="n">
        <v>12</v>
      </c>
      <c r="B261" s="46" t="inlineStr">
        <is>
          <t>Taper</t>
        </is>
      </c>
      <c r="C261" s="39" t="n">
        <v>5</v>
      </c>
      <c r="D261" s="40" t="inlineStr">
        <is>
          <t>Saturday — Squat variant + Bent-over row</t>
        </is>
      </c>
      <c r="E261" s="41" t="n">
        <v>2</v>
      </c>
      <c r="F261" s="40" t="inlineStr">
        <is>
          <t>Bent-over row</t>
        </is>
      </c>
      <c r="G261" s="41" t="inlineStr">
        <is>
          <t>Accessory</t>
        </is>
      </c>
      <c r="H261" s="41" t="inlineStr">
        <is>
          <t>ROW</t>
        </is>
      </c>
      <c r="I261" s="39" t="n">
        <v>4</v>
      </c>
      <c r="J261" s="39" t="inlineStr">
        <is>
          <t>4-6</t>
        </is>
      </c>
      <c r="K261" s="39" t="inlineStr">
        <is>
          <t>Linear +5lb</t>
        </is>
      </c>
      <c r="L261" s="35">
        <f>'Setup &amp; Dashboard'!$C$10+(12-1)*5</f>
        <v/>
      </c>
      <c r="M261" s="41" t="inlineStr"/>
      <c r="N261" s="36" t="inlineStr">
        <is>
          <t>4 strict sets. Add 5 lb next exposure only when every set is clean and ≤RPE 8; deload load/reps, no failure.</t>
        </is>
      </c>
      <c r="O261" s="8" t="inlineStr"/>
      <c r="P261" s="13" t="inlineStr"/>
      <c r="Q261" s="14" t="inlineStr">
        <is>
          <t>[ ]</t>
        </is>
      </c>
    </row>
    <row r="262" ht="22" customHeight="1">
      <c r="A262" s="28" t="n">
        <v>12</v>
      </c>
      <c r="B262" s="46" t="inlineStr">
        <is>
          <t>Taper</t>
        </is>
      </c>
      <c r="C262" s="30" t="n">
        <v>5</v>
      </c>
      <c r="D262" s="31" t="inlineStr">
        <is>
          <t>Saturday — Squat variant + Bent-over row</t>
        </is>
      </c>
      <c r="E262" s="32" t="n">
        <v>3</v>
      </c>
      <c r="F262" s="31" t="inlineStr">
        <is>
          <t>Reverse hyper</t>
        </is>
      </c>
      <c r="G262" s="32" t="inlineStr">
        <is>
          <t>Accessory</t>
        </is>
      </c>
      <c r="H262" s="32" t="inlineStr">
        <is>
          <t>-</t>
        </is>
      </c>
      <c r="I262" s="30" t="n">
        <v>1</v>
      </c>
      <c r="J262" s="30" t="inlineStr">
        <is>
          <t>10</t>
        </is>
      </c>
      <c r="K262" s="30" t="inlineStr"/>
      <c r="L262" s="32" t="inlineStr"/>
      <c r="M262" s="32" t="inlineStr"/>
      <c r="N262" s="37" t="inlineStr"/>
      <c r="O262" s="8" t="inlineStr"/>
      <c r="P262" s="13" t="inlineStr"/>
      <c r="Q262" s="14" t="inlineStr">
        <is>
          <t>[ ]</t>
        </is>
      </c>
    </row>
    <row r="263" ht="22" customHeight="1">
      <c r="A263" s="28" t="n">
        <v>13</v>
      </c>
      <c r="B263" s="47" t="inlineStr">
        <is>
          <t>Testing</t>
        </is>
      </c>
      <c r="C263" s="30" t="n">
        <v>1</v>
      </c>
      <c r="D263" s="31" t="inlineStr">
        <is>
          <t>Day 1 — Light activation</t>
        </is>
      </c>
      <c r="E263" s="32" t="n">
        <v>1</v>
      </c>
      <c r="F263" s="33" t="inlineStr">
        <is>
          <t>Squat activation</t>
        </is>
      </c>
      <c r="G263" s="34" t="inlineStr">
        <is>
          <t>Main Lift</t>
        </is>
      </c>
      <c r="H263" s="32" t="inlineStr">
        <is>
          <t>SQUAT</t>
        </is>
      </c>
      <c r="I263" s="28" t="n">
        <v>2</v>
      </c>
      <c r="J263" s="28" t="inlineStr">
        <is>
          <t>3</t>
        </is>
      </c>
      <c r="K263" s="28" t="inlineStr">
        <is>
          <t>50%</t>
        </is>
      </c>
      <c r="L263" s="35">
        <f>ROUND('Setup &amp; Dashboard'!$C$7*0.5/5, 0)*5</f>
        <v/>
      </c>
      <c r="M263" s="28" t="inlineStr">
        <is>
          <t>RPE ≤5</t>
        </is>
      </c>
      <c r="N263" s="36" t="inlineStr">
        <is>
          <t>Crisp only</t>
        </is>
      </c>
      <c r="O263" s="8" t="inlineStr"/>
      <c r="P263" s="13" t="inlineStr"/>
      <c r="Q263" s="14" t="inlineStr">
        <is>
          <t>[ ]</t>
        </is>
      </c>
    </row>
    <row r="264" ht="22" customHeight="1">
      <c r="A264" s="28" t="n">
        <v>13</v>
      </c>
      <c r="B264" s="47" t="inlineStr">
        <is>
          <t>Testing</t>
        </is>
      </c>
      <c r="C264" s="30" t="n">
        <v>1</v>
      </c>
      <c r="D264" s="31" t="inlineStr">
        <is>
          <t>Day 1 — Light activation</t>
        </is>
      </c>
      <c r="E264" s="32" t="n">
        <v>2</v>
      </c>
      <c r="F264" s="33" t="inlineStr">
        <is>
          <t>Bench activation</t>
        </is>
      </c>
      <c r="G264" s="34" t="inlineStr">
        <is>
          <t>Main Lift</t>
        </is>
      </c>
      <c r="H264" s="32" t="inlineStr">
        <is>
          <t>BENCH</t>
        </is>
      </c>
      <c r="I264" s="28" t="n">
        <v>2</v>
      </c>
      <c r="J264" s="28" t="inlineStr">
        <is>
          <t>3</t>
        </is>
      </c>
      <c r="K264" s="28" t="inlineStr">
        <is>
          <t>50%</t>
        </is>
      </c>
      <c r="L264" s="35">
        <f>ROUND('Setup &amp; Dashboard'!$C$8*0.5/5, 0)*5</f>
        <v/>
      </c>
      <c r="M264" s="28" t="inlineStr">
        <is>
          <t>RPE ≤5</t>
        </is>
      </c>
      <c r="N264" s="36" t="inlineStr">
        <is>
          <t>Crisp only</t>
        </is>
      </c>
      <c r="O264" s="8" t="inlineStr"/>
      <c r="P264" s="13" t="inlineStr"/>
      <c r="Q264" s="14" t="inlineStr">
        <is>
          <t>[ ]</t>
        </is>
      </c>
    </row>
    <row r="265" ht="22" customHeight="1">
      <c r="A265" s="28" t="n">
        <v>13</v>
      </c>
      <c r="B265" s="47" t="inlineStr">
        <is>
          <t>Testing</t>
        </is>
      </c>
      <c r="C265" s="30" t="n">
        <v>2</v>
      </c>
      <c r="D265" s="31" t="inlineStr">
        <is>
          <t>Day 2 — Bench PR test</t>
        </is>
      </c>
      <c r="E265" s="32" t="n">
        <v>1</v>
      </c>
      <c r="F265" s="33" t="inlineStr">
        <is>
          <t>Bench PR attempts</t>
        </is>
      </c>
      <c r="G265" s="34" t="inlineStr">
        <is>
          <t>Main Lift</t>
        </is>
      </c>
      <c r="H265" s="32" t="inlineStr">
        <is>
          <t>BENCH</t>
        </is>
      </c>
      <c r="I265" s="28" t="n">
        <v>3</v>
      </c>
      <c r="J265" s="28" t="inlineStr">
        <is>
          <t>1 (PR Attempt)</t>
        </is>
      </c>
      <c r="K265" s="28" t="inlineStr">
        <is>
          <t>90%</t>
        </is>
      </c>
      <c r="L265" s="35">
        <f>ROUND('Setup &amp; Dashboard'!$C$8*0.9/5, 0)*5</f>
        <v/>
      </c>
      <c r="M265" s="32" t="inlineStr"/>
      <c r="N265" s="36" t="inlineStr">
        <is>
          <t>Opener ~90% of max; next attempts only if clean.</t>
        </is>
      </c>
      <c r="O265" s="8" t="inlineStr"/>
      <c r="P265" s="13" t="inlineStr"/>
      <c r="Q265" s="14" t="inlineStr">
        <is>
          <t>[ ]</t>
        </is>
      </c>
    </row>
    <row r="266" ht="22" customHeight="1">
      <c r="A266" s="28" t="n">
        <v>13</v>
      </c>
      <c r="B266" s="47" t="inlineStr">
        <is>
          <t>Testing</t>
        </is>
      </c>
      <c r="C266" s="30" t="n">
        <v>3</v>
      </c>
      <c r="D266" s="31" t="inlineStr">
        <is>
          <t>Day 3 — Rest</t>
        </is>
      </c>
      <c r="E266" s="32" t="n">
        <v>1</v>
      </c>
      <c r="F266" s="40" t="inlineStr">
        <is>
          <t>No lifting / recovery</t>
        </is>
      </c>
      <c r="G266" s="48" t="inlineStr">
        <is>
          <t>Rest Day</t>
        </is>
      </c>
      <c r="H266" s="32" t="inlineStr">
        <is>
          <t>-</t>
        </is>
      </c>
      <c r="I266" s="30" t="inlineStr"/>
      <c r="J266" s="30" t="inlineStr"/>
      <c r="K266" s="30" t="inlineStr"/>
      <c r="L266" s="32" t="inlineStr"/>
      <c r="M266" s="32" t="inlineStr"/>
      <c r="N266" s="36" t="inlineStr">
        <is>
          <t>Full rest; no loaded lifting.</t>
        </is>
      </c>
      <c r="O266" s="8" t="inlineStr"/>
      <c r="P266" s="13" t="inlineStr"/>
      <c r="Q266" s="14" t="inlineStr">
        <is>
          <t>[ ]</t>
        </is>
      </c>
    </row>
    <row r="267" ht="22" customHeight="1">
      <c r="A267" s="28" t="n">
        <v>13</v>
      </c>
      <c r="B267" s="47" t="inlineStr">
        <is>
          <t>Testing</t>
        </is>
      </c>
      <c r="C267" s="30" t="n">
        <v>4</v>
      </c>
      <c r="D267" s="31" t="inlineStr">
        <is>
          <t>Day 4 — Squat PR test</t>
        </is>
      </c>
      <c r="E267" s="32" t="n">
        <v>1</v>
      </c>
      <c r="F267" s="33" t="inlineStr">
        <is>
          <t>Squat PR attempts</t>
        </is>
      </c>
      <c r="G267" s="34" t="inlineStr">
        <is>
          <t>Main Lift</t>
        </is>
      </c>
      <c r="H267" s="32" t="inlineStr">
        <is>
          <t>SQUAT</t>
        </is>
      </c>
      <c r="I267" s="28" t="n">
        <v>3</v>
      </c>
      <c r="J267" s="28" t="inlineStr">
        <is>
          <t>1 (PR Attempt)</t>
        </is>
      </c>
      <c r="K267" s="28" t="inlineStr">
        <is>
          <t>90%</t>
        </is>
      </c>
      <c r="L267" s="35">
        <f>ROUND('Setup &amp; Dashboard'!$C$7*0.9/5, 0)*5</f>
        <v/>
      </c>
      <c r="M267" s="32" t="inlineStr"/>
      <c r="N267" s="36" t="inlineStr">
        <is>
          <t>At least 48h after bench; no forced grinder.</t>
        </is>
      </c>
      <c r="O267" s="8" t="inlineStr"/>
      <c r="P267" s="13" t="inlineStr"/>
      <c r="Q267" s="14" t="inlineStr">
        <is>
          <t>[ ]</t>
        </is>
      </c>
    </row>
    <row r="268" ht="22" customHeight="1">
      <c r="A268" s="28" t="n">
        <v>13</v>
      </c>
      <c r="B268" s="47" t="inlineStr">
        <is>
          <t>Testing</t>
        </is>
      </c>
      <c r="C268" s="30" t="n">
        <v>5</v>
      </c>
      <c r="D268" s="31" t="inlineStr">
        <is>
          <t>Day 5 — Rest / recovery</t>
        </is>
      </c>
      <c r="E268" s="32" t="n">
        <v>1</v>
      </c>
      <c r="F268" s="40" t="inlineStr">
        <is>
          <t>No lifting / recovery</t>
        </is>
      </c>
      <c r="G268" s="48" t="inlineStr">
        <is>
          <t>Rest Day</t>
        </is>
      </c>
      <c r="H268" s="32" t="inlineStr">
        <is>
          <t>-</t>
        </is>
      </c>
      <c r="I268" s="30" t="inlineStr"/>
      <c r="J268" s="30" t="inlineStr"/>
      <c r="K268" s="30" t="inlineStr"/>
      <c r="L268" s="32" t="inlineStr"/>
      <c r="M268" s="32" t="inlineStr"/>
      <c r="N268" s="36" t="inlineStr">
        <is>
          <t>Full rest; no loaded lifting.</t>
        </is>
      </c>
      <c r="O268" s="8" t="inlineStr"/>
      <c r="P268" s="13" t="inlineStr"/>
      <c r="Q268" s="14" t="inlineStr">
        <is>
          <t>[ ]</t>
        </is>
      </c>
    </row>
    <row r="269" ht="22" customHeight="1">
      <c r="A269" s="28" t="n">
        <v>13</v>
      </c>
      <c r="B269" s="47" t="inlineStr">
        <is>
          <t>Testing</t>
        </is>
      </c>
      <c r="C269" s="30" t="n">
        <v>6</v>
      </c>
      <c r="D269" s="31" t="inlineStr">
        <is>
          <t>Day 6 — Rest / full recovery</t>
        </is>
      </c>
      <c r="E269" s="32" t="n">
        <v>1</v>
      </c>
      <c r="F269" s="40" t="inlineStr">
        <is>
          <t>No lifting</t>
        </is>
      </c>
      <c r="G269" s="48" t="inlineStr">
        <is>
          <t>Rest Day</t>
        </is>
      </c>
      <c r="H269" s="32" t="inlineStr">
        <is>
          <t>-</t>
        </is>
      </c>
      <c r="I269" s="30" t="inlineStr"/>
      <c r="J269" s="30" t="inlineStr"/>
      <c r="K269" s="30" t="inlineStr"/>
      <c r="L269" s="32" t="inlineStr"/>
      <c r="M269" s="32" t="inlineStr"/>
      <c r="N269" s="36" t="inlineStr">
        <is>
          <t>Full rest before deadlift testing.</t>
        </is>
      </c>
      <c r="O269" s="8" t="inlineStr"/>
      <c r="P269" s="13" t="inlineStr"/>
      <c r="Q269" s="14" t="inlineStr">
        <is>
          <t>[ ]</t>
        </is>
      </c>
    </row>
    <row r="270" ht="22" customHeight="1">
      <c r="A270" s="28" t="n">
        <v>13</v>
      </c>
      <c r="B270" s="47" t="inlineStr">
        <is>
          <t>Testing</t>
        </is>
      </c>
      <c r="C270" s="30" t="n">
        <v>7</v>
      </c>
      <c r="D270" s="31" t="inlineStr">
        <is>
          <t>Day 7 — Rest / full recovery</t>
        </is>
      </c>
      <c r="E270" s="32" t="n">
        <v>1</v>
      </c>
      <c r="F270" s="40" t="inlineStr">
        <is>
          <t>No lifting</t>
        </is>
      </c>
      <c r="G270" s="48" t="inlineStr">
        <is>
          <t>Rest Day</t>
        </is>
      </c>
      <c r="H270" s="32" t="inlineStr">
        <is>
          <t>-</t>
        </is>
      </c>
      <c r="I270" s="30" t="inlineStr"/>
      <c r="J270" s="30" t="inlineStr"/>
      <c r="K270" s="30" t="inlineStr"/>
      <c r="L270" s="32" t="inlineStr"/>
      <c r="M270" s="32" t="inlineStr"/>
      <c r="N270" s="36" t="inlineStr">
        <is>
          <t>Full rest before deadlift testing.</t>
        </is>
      </c>
      <c r="O270" s="8" t="inlineStr"/>
      <c r="P270" s="13" t="inlineStr"/>
      <c r="Q270" s="14" t="inlineStr">
        <is>
          <t>[ ]</t>
        </is>
      </c>
    </row>
    <row r="271" ht="22" customHeight="1">
      <c r="A271" s="28" t="n">
        <v>13</v>
      </c>
      <c r="B271" s="47" t="inlineStr">
        <is>
          <t>Testing</t>
        </is>
      </c>
      <c r="C271" s="30" t="n">
        <v>8</v>
      </c>
      <c r="D271" s="31" t="inlineStr">
        <is>
          <t>Day 8 — Deadlift PR test</t>
        </is>
      </c>
      <c r="E271" s="32" t="n">
        <v>1</v>
      </c>
      <c r="F271" s="33" t="inlineStr">
        <is>
          <t>Deadlift PR attempts</t>
        </is>
      </c>
      <c r="G271" s="34" t="inlineStr">
        <is>
          <t>Main Lift</t>
        </is>
      </c>
      <c r="H271" s="32" t="inlineStr">
        <is>
          <t>DEADLIFT</t>
        </is>
      </c>
      <c r="I271" s="28" t="n">
        <v>3</v>
      </c>
      <c r="J271" s="28" t="inlineStr">
        <is>
          <t>1 (PR Attempt)</t>
        </is>
      </c>
      <c r="K271" s="28" t="inlineStr">
        <is>
          <t>90%</t>
        </is>
      </c>
      <c r="L271" s="35">
        <f>ROUND('Setup &amp; Dashboard'!$C$9*0.9/5, 0)*5</f>
        <v/>
      </c>
      <c r="M271" s="32" t="inlineStr"/>
      <c r="N271" s="36" t="inlineStr">
        <is>
          <t>At least 72h after squat; opener ~90% of max; attempt increases only if clean.</t>
        </is>
      </c>
      <c r="O271" s="8" t="inlineStr"/>
      <c r="P271" s="13" t="inlineStr"/>
      <c r="Q271" s="14" t="inlineStr">
        <is>
          <t>[ ]</t>
        </is>
      </c>
    </row>
  </sheetData>
  <mergeCells count="2">
    <mergeCell ref="A2:Q2"/>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22"/>
  <sheetViews>
    <sheetView showGridLines="1" workbookViewId="0">
      <selection activeCell="A1" sqref="A1"/>
    </sheetView>
  </sheetViews>
  <sheetFormatPr baseColWidth="8" defaultRowHeight="15" outlineLevelCol="0"/>
  <cols>
    <col width="5" customWidth="1" min="1" max="1"/>
    <col width="33" customWidth="1" min="2" max="2"/>
    <col width="10" customWidth="1" min="3" max="3"/>
    <col width="8" customWidth="1" min="4" max="4"/>
    <col width="13" customWidth="1" min="5" max="5"/>
    <col width="12" customWidth="1" min="6" max="6"/>
    <col width="49" customWidth="1" min="7" max="7"/>
    <col width="11" customWidth="1" min="8" max="8"/>
    <col width="160" customWidth="1" min="9" max="9"/>
    <col width="14" customWidth="1" min="10" max="10"/>
    <col width="20" customWidth="1" min="11" max="11"/>
    <col width="8" customWidth="1" min="12" max="12"/>
  </cols>
  <sheetData>
    <row r="1" ht="30" customHeight="1">
      <c r="A1" s="1" t="inlineStr">
        <is>
          <t>CHIKO_LIFTS : BLOCK 1 (W1-5) (WEEKS 1–5)</t>
        </is>
      </c>
    </row>
    <row r="2" ht="20" customHeight="1">
      <c r="A2" s="2" t="inlineStr">
        <is>
          <t>Foundation &amp; Volume Accumulation, Unilateral Hypertrophy &amp; Week 5 Fatigue Deload</t>
        </is>
      </c>
    </row>
    <row r="3"/>
    <row r="4" ht="26" customHeight="1">
      <c r="A4" s="49" t="inlineStr">
        <is>
          <t>WEEK 1 — ACCUMULATION</t>
        </is>
      </c>
    </row>
    <row r="5" ht="22" customHeight="1">
      <c r="A5" s="50" t="inlineStr">
        <is>
          <t>Day 1 : Monday — Squat</t>
        </is>
      </c>
    </row>
    <row r="6" ht="90" customHeight="1">
      <c r="A6" s="51" t="inlineStr">
        <is>
          <t>💡 Coaching Rationale: The cycle opens with a top single at 85% of max. It's not a max test. It's a smooth, no-grind single at RPE 7.5-8 that gets you used to heavier weight on your back from day one. The 4x4 back-offs at 70% of max are the real volume work, kept well short of failure so you groove the pattern. Split squats and leg curls build the single-leg stability and hamstring strength that heavier squats will need later.</t>
        </is>
      </c>
    </row>
    <row r="7" ht="22" customHeight="1">
      <c r="A7" s="52" t="inlineStr">
        <is>
          <t>#</t>
        </is>
      </c>
      <c r="B7" s="52" t="inlineStr">
        <is>
          <t>Exercise</t>
        </is>
      </c>
      <c r="C7" s="52" t="inlineStr">
        <is>
          <t>Type</t>
        </is>
      </c>
      <c r="D7" s="52" t="inlineStr">
        <is>
          <t>Sets</t>
        </is>
      </c>
      <c r="E7" s="52" t="inlineStr">
        <is>
          <t>Reps</t>
        </is>
      </c>
      <c r="F7" s="52" t="inlineStr">
        <is>
          <t>% 1RM</t>
        </is>
      </c>
      <c r="G7" s="52" t="inlineStr">
        <is>
          <t>Prescribed (lbs)</t>
        </is>
      </c>
      <c r="H7" s="52" t="inlineStr">
        <is>
          <t>RPE</t>
        </is>
      </c>
      <c r="I7" s="52" t="inlineStr">
        <is>
          <t>Technique Notes</t>
        </is>
      </c>
      <c r="J7" s="52" t="inlineStr">
        <is>
          <t>Actual Wt</t>
        </is>
      </c>
      <c r="K7" s="52" t="inlineStr">
        <is>
          <t>Reps/Notes</t>
        </is>
      </c>
      <c r="L7" s="52" t="inlineStr">
        <is>
          <t>Done</t>
        </is>
      </c>
    </row>
    <row r="8" ht="22" customHeight="1">
      <c r="A8" s="32" t="n">
        <v>1</v>
      </c>
      <c r="B8" s="53" t="inlineStr">
        <is>
          <t>Back squat — top single</t>
        </is>
      </c>
      <c r="C8" s="34" t="inlineStr">
        <is>
          <t>Main</t>
        </is>
      </c>
      <c r="D8" s="28" t="n">
        <v>1</v>
      </c>
      <c r="E8" s="28" t="inlineStr">
        <is>
          <t>1</t>
        </is>
      </c>
      <c r="F8" s="28" t="inlineStr">
        <is>
          <t>85%</t>
        </is>
      </c>
      <c r="G8" s="35">
        <f>ROUND('Setup &amp; Dashboard'!$C$7*0.85/5, 0)*5</f>
        <v/>
      </c>
      <c r="H8" s="28" t="inlineStr">
        <is>
          <t>@7.5-8</t>
        </is>
      </c>
      <c r="I8" s="54" t="inlineStr">
        <is>
          <t>Smooth single, no grind</t>
        </is>
      </c>
      <c r="J8" s="55" t="inlineStr"/>
      <c r="K8" s="55" t="inlineStr"/>
      <c r="L8" s="14" t="inlineStr">
        <is>
          <t>[ ]</t>
        </is>
      </c>
    </row>
    <row r="9" ht="22" customHeight="1">
      <c r="A9" s="32" t="n">
        <v>2</v>
      </c>
      <c r="B9" s="53" t="inlineStr">
        <is>
          <t>Back squat — back-off</t>
        </is>
      </c>
      <c r="C9" s="34" t="inlineStr">
        <is>
          <t>Main</t>
        </is>
      </c>
      <c r="D9" s="28" t="n">
        <v>4</v>
      </c>
      <c r="E9" s="28" t="inlineStr">
        <is>
          <t>4</t>
        </is>
      </c>
      <c r="F9" s="28" t="inlineStr">
        <is>
          <t>70%</t>
        </is>
      </c>
      <c r="G9" s="35">
        <f>ROUND('Setup &amp; Dashboard'!$C$7*0.7/5, 0)*5</f>
        <v/>
      </c>
      <c r="H9" s="28" t="inlineStr">
        <is>
          <t>@7</t>
        </is>
      </c>
      <c r="I9" s="56" t="inlineStr"/>
      <c r="J9" s="55" t="inlineStr"/>
      <c r="K9" s="55" t="inlineStr"/>
      <c r="L9" s="14" t="inlineStr">
        <is>
          <t>[ ]</t>
        </is>
      </c>
    </row>
    <row r="10" ht="22" customHeight="1">
      <c r="A10" s="32" t="n">
        <v>3</v>
      </c>
      <c r="B10" s="57" t="inlineStr">
        <is>
          <t>Bulgarian split squat</t>
        </is>
      </c>
      <c r="C10" s="32" t="inlineStr">
        <is>
          <t>Acc</t>
        </is>
      </c>
      <c r="D10" s="30" t="n">
        <v>3</v>
      </c>
      <c r="E10" s="30" t="inlineStr">
        <is>
          <t>10/leg</t>
        </is>
      </c>
      <c r="F10" s="30" t="inlineStr"/>
      <c r="G10" s="32" t="inlineStr"/>
      <c r="H10" s="32" t="inlineStr"/>
      <c r="I10" s="56" t="inlineStr"/>
      <c r="J10" s="55" t="inlineStr"/>
      <c r="K10" s="55" t="inlineStr"/>
      <c r="L10" s="14" t="inlineStr">
        <is>
          <t>[ ]</t>
        </is>
      </c>
    </row>
    <row r="11" ht="22" customHeight="1">
      <c r="A11" s="32" t="n">
        <v>4</v>
      </c>
      <c r="B11" s="57" t="inlineStr">
        <is>
          <t>Seated leg curl</t>
        </is>
      </c>
      <c r="C11" s="32" t="inlineStr">
        <is>
          <t>Acc</t>
        </is>
      </c>
      <c r="D11" s="30" t="n">
        <v>3</v>
      </c>
      <c r="E11" s="30" t="inlineStr">
        <is>
          <t>12</t>
        </is>
      </c>
      <c r="F11" s="30" t="inlineStr"/>
      <c r="G11" s="32" t="inlineStr"/>
      <c r="H11" s="32" t="inlineStr"/>
      <c r="I11" s="56" t="inlineStr"/>
      <c r="J11" s="55" t="inlineStr"/>
      <c r="K11" s="55" t="inlineStr"/>
      <c r="L11" s="14" t="inlineStr">
        <is>
          <t>[ ]</t>
        </is>
      </c>
    </row>
    <row r="12" ht="22" customHeight="1">
      <c r="A12" s="32" t="n">
        <v>5</v>
      </c>
      <c r="B12" s="57" t="inlineStr">
        <is>
          <t>Pallof press</t>
        </is>
      </c>
      <c r="C12" s="32" t="inlineStr">
        <is>
          <t>Acc</t>
        </is>
      </c>
      <c r="D12" s="30" t="n">
        <v>3</v>
      </c>
      <c r="E12" s="30" t="inlineStr">
        <is>
          <t>10/side</t>
        </is>
      </c>
      <c r="F12" s="30" t="inlineStr"/>
      <c r="G12" s="32" t="inlineStr"/>
      <c r="H12" s="32" t="inlineStr"/>
      <c r="I12" s="56" t="inlineStr"/>
      <c r="J12" s="55" t="inlineStr"/>
      <c r="K12" s="55" t="inlineStr"/>
      <c r="L12" s="14" t="inlineStr">
        <is>
          <t>[ ]</t>
        </is>
      </c>
    </row>
    <row r="13" ht="22" customHeight="1">
      <c r="A13" s="32" t="n">
        <v>6</v>
      </c>
      <c r="B13" s="57" t="inlineStr">
        <is>
          <t>Standing calf raise</t>
        </is>
      </c>
      <c r="C13" s="32" t="inlineStr">
        <is>
          <t>Acc</t>
        </is>
      </c>
      <c r="D13" s="30" t="n">
        <v>3</v>
      </c>
      <c r="E13" s="30" t="inlineStr">
        <is>
          <t>15</t>
        </is>
      </c>
      <c r="F13" s="30" t="inlineStr"/>
      <c r="G13" s="32" t="inlineStr"/>
      <c r="H13" s="32" t="inlineStr"/>
      <c r="I13" s="56" t="inlineStr"/>
      <c r="J13" s="55" t="inlineStr"/>
      <c r="K13" s="55" t="inlineStr"/>
      <c r="L13" s="14" t="inlineStr">
        <is>
          <t>[ ]</t>
        </is>
      </c>
    </row>
    <row r="14"/>
    <row r="15" ht="22" customHeight="1">
      <c r="A15" s="50" t="inlineStr">
        <is>
          <t>Day 2 : Tuesday — Bench</t>
        </is>
      </c>
    </row>
    <row r="16" ht="72" customHeight="1">
      <c r="A16" s="51" t="inlineStr">
        <is>
          <t>💡 Coaching Rationale: Bench starts with 6x4 at 70% of max. That's more sets than squat because bench recovers faster and handles volume well. Close-grip bench and triceps work start building lockout strength for the heavier weeks. Face pulls keep the rear delts and rotator cuff balanced against all the pressing.</t>
        </is>
      </c>
    </row>
    <row r="17" ht="22" customHeight="1">
      <c r="A17" s="52" t="inlineStr">
        <is>
          <t>#</t>
        </is>
      </c>
      <c r="B17" s="52" t="inlineStr">
        <is>
          <t>Exercise</t>
        </is>
      </c>
      <c r="C17" s="52" t="inlineStr">
        <is>
          <t>Type</t>
        </is>
      </c>
      <c r="D17" s="52" t="inlineStr">
        <is>
          <t>Sets</t>
        </is>
      </c>
      <c r="E17" s="52" t="inlineStr">
        <is>
          <t>Reps</t>
        </is>
      </c>
      <c r="F17" s="52" t="inlineStr">
        <is>
          <t>% 1RM</t>
        </is>
      </c>
      <c r="G17" s="52" t="inlineStr">
        <is>
          <t>Prescribed (lbs)</t>
        </is>
      </c>
      <c r="H17" s="52" t="inlineStr">
        <is>
          <t>RPE</t>
        </is>
      </c>
      <c r="I17" s="52" t="inlineStr">
        <is>
          <t>Technique Notes</t>
        </is>
      </c>
      <c r="J17" s="52" t="inlineStr">
        <is>
          <t>Actual Wt</t>
        </is>
      </c>
      <c r="K17" s="52" t="inlineStr">
        <is>
          <t>Reps/Notes</t>
        </is>
      </c>
      <c r="L17" s="52" t="inlineStr">
        <is>
          <t>Done</t>
        </is>
      </c>
    </row>
    <row r="18" ht="22" customHeight="1">
      <c r="A18" s="32" t="n">
        <v>1</v>
      </c>
      <c r="B18" s="53" t="inlineStr">
        <is>
          <t>Bench press</t>
        </is>
      </c>
      <c r="C18" s="34" t="inlineStr">
        <is>
          <t>Main</t>
        </is>
      </c>
      <c r="D18" s="28" t="n">
        <v>6</v>
      </c>
      <c r="E18" s="28" t="inlineStr">
        <is>
          <t>4</t>
        </is>
      </c>
      <c r="F18" s="28" t="inlineStr">
        <is>
          <t>70%</t>
        </is>
      </c>
      <c r="G18" s="35">
        <f>ROUND('Setup &amp; Dashboard'!$C$8*0.7/5, 0)*5</f>
        <v/>
      </c>
      <c r="H18" s="28" t="inlineStr">
        <is>
          <t>@7</t>
        </is>
      </c>
      <c r="I18" s="56" t="inlineStr"/>
      <c r="J18" s="55" t="inlineStr"/>
      <c r="K18" s="55" t="inlineStr"/>
      <c r="L18" s="14" t="inlineStr">
        <is>
          <t>[ ]</t>
        </is>
      </c>
    </row>
    <row r="19" ht="22" customHeight="1">
      <c r="A19" s="32" t="n">
        <v>2</v>
      </c>
      <c r="B19" s="57" t="inlineStr">
        <is>
          <t>Close-grip bench</t>
        </is>
      </c>
      <c r="C19" s="32" t="inlineStr">
        <is>
          <t>Acc</t>
        </is>
      </c>
      <c r="D19" s="30" t="n">
        <v>3</v>
      </c>
      <c r="E19" s="30" t="inlineStr">
        <is>
          <t>6</t>
        </is>
      </c>
      <c r="F19" s="30" t="inlineStr"/>
      <c r="G19" s="32" t="inlineStr"/>
      <c r="H19" s="28" t="inlineStr">
        <is>
          <t>@7</t>
        </is>
      </c>
      <c r="I19" s="56" t="inlineStr"/>
      <c r="J19" s="55" t="inlineStr"/>
      <c r="K19" s="55" t="inlineStr"/>
      <c r="L19" s="14" t="inlineStr">
        <is>
          <t>[ ]</t>
        </is>
      </c>
    </row>
    <row r="20" ht="22" customHeight="1">
      <c r="A20" s="32" t="n">
        <v>3</v>
      </c>
      <c r="B20" s="57" t="inlineStr">
        <is>
          <t>Incline DB press</t>
        </is>
      </c>
      <c r="C20" s="32" t="inlineStr">
        <is>
          <t>Acc</t>
        </is>
      </c>
      <c r="D20" s="30" t="n">
        <v>3</v>
      </c>
      <c r="E20" s="30" t="inlineStr">
        <is>
          <t>12</t>
        </is>
      </c>
      <c r="F20" s="30" t="inlineStr"/>
      <c r="G20" s="32" t="inlineStr"/>
      <c r="H20" s="32" t="inlineStr"/>
      <c r="I20" s="56" t="inlineStr"/>
      <c r="J20" s="55" t="inlineStr"/>
      <c r="K20" s="55" t="inlineStr"/>
      <c r="L20" s="14" t="inlineStr">
        <is>
          <t>[ ]</t>
        </is>
      </c>
    </row>
    <row r="21" ht="22" customHeight="1">
      <c r="A21" s="32" t="n">
        <v>4</v>
      </c>
      <c r="B21" s="57" t="inlineStr">
        <is>
          <t>Triceps pressdown</t>
        </is>
      </c>
      <c r="C21" s="32" t="inlineStr">
        <is>
          <t>Acc</t>
        </is>
      </c>
      <c r="D21" s="30" t="n">
        <v>3</v>
      </c>
      <c r="E21" s="30" t="inlineStr">
        <is>
          <t>12</t>
        </is>
      </c>
      <c r="F21" s="30" t="inlineStr"/>
      <c r="G21" s="32" t="inlineStr"/>
      <c r="H21" s="32" t="inlineStr"/>
      <c r="I21" s="56" t="inlineStr"/>
      <c r="J21" s="55" t="inlineStr"/>
      <c r="K21" s="55" t="inlineStr"/>
      <c r="L21" s="14" t="inlineStr">
        <is>
          <t>[ ]</t>
        </is>
      </c>
    </row>
    <row r="22" ht="22" customHeight="1">
      <c r="A22" s="32" t="n">
        <v>5</v>
      </c>
      <c r="B22" s="57" t="inlineStr">
        <is>
          <t>Face pull</t>
        </is>
      </c>
      <c r="C22" s="32" t="inlineStr">
        <is>
          <t>Acc</t>
        </is>
      </c>
      <c r="D22" s="30" t="n">
        <v>3</v>
      </c>
      <c r="E22" s="30" t="inlineStr">
        <is>
          <t>15</t>
        </is>
      </c>
      <c r="F22" s="30" t="inlineStr"/>
      <c r="G22" s="32" t="inlineStr"/>
      <c r="H22" s="32" t="inlineStr"/>
      <c r="I22" s="56" t="inlineStr"/>
      <c r="J22" s="55" t="inlineStr"/>
      <c r="K22" s="55" t="inlineStr"/>
      <c r="L22" s="14" t="inlineStr">
        <is>
          <t>[ ]</t>
        </is>
      </c>
    </row>
    <row r="23"/>
    <row r="24" ht="22" customHeight="1">
      <c r="A24" s="50" t="inlineStr">
        <is>
          <t>Day 3 : Thursday — Deadlift</t>
        </is>
      </c>
    </row>
    <row r="25" ht="90" customHeight="1">
      <c r="A25" s="51" t="inlineStr">
        <is>
          <t>💡 Coaching Rationale: Deadlift is the lightest main lift relative to your max (68%) because it costs the most recovery. The 1.5-rep deadlift from knee height starts at 60% of your deadlift max. Each rep goes lockout → just below the knee → back to lockout → floor, with a reset every rep. This builds strength in the knee-to-lockout range under control. Only add the weekly 5 lb if every rep is clean and RPE 7 or lower.</t>
        </is>
      </c>
    </row>
    <row r="26" ht="22" customHeight="1">
      <c r="A26" s="52" t="inlineStr">
        <is>
          <t>#</t>
        </is>
      </c>
      <c r="B26" s="52" t="inlineStr">
        <is>
          <t>Exercise</t>
        </is>
      </c>
      <c r="C26" s="52" t="inlineStr">
        <is>
          <t>Type</t>
        </is>
      </c>
      <c r="D26" s="52" t="inlineStr">
        <is>
          <t>Sets</t>
        </is>
      </c>
      <c r="E26" s="52" t="inlineStr">
        <is>
          <t>Reps</t>
        </is>
      </c>
      <c r="F26" s="52" t="inlineStr">
        <is>
          <t>% 1RM</t>
        </is>
      </c>
      <c r="G26" s="52" t="inlineStr">
        <is>
          <t>Prescribed (lbs)</t>
        </is>
      </c>
      <c r="H26" s="52" t="inlineStr">
        <is>
          <t>RPE</t>
        </is>
      </c>
      <c r="I26" s="52" t="inlineStr">
        <is>
          <t>Technique Notes</t>
        </is>
      </c>
      <c r="J26" s="52" t="inlineStr">
        <is>
          <t>Actual Wt</t>
        </is>
      </c>
      <c r="K26" s="52" t="inlineStr">
        <is>
          <t>Reps/Notes</t>
        </is>
      </c>
      <c r="L26" s="52" t="inlineStr">
        <is>
          <t>Done</t>
        </is>
      </c>
    </row>
    <row r="27" ht="22" customHeight="1">
      <c r="A27" s="32" t="n">
        <v>1</v>
      </c>
      <c r="B27" s="53" t="inlineStr">
        <is>
          <t>Deadlift</t>
        </is>
      </c>
      <c r="C27" s="34" t="inlineStr">
        <is>
          <t>Main</t>
        </is>
      </c>
      <c r="D27" s="28" t="n">
        <v>3</v>
      </c>
      <c r="E27" s="28" t="inlineStr">
        <is>
          <t>4</t>
        </is>
      </c>
      <c r="F27" s="28" t="inlineStr">
        <is>
          <t>68%</t>
        </is>
      </c>
      <c r="G27" s="35">
        <f>ROUND('Setup &amp; Dashboard'!$C$9*0.68/5, 0)*5</f>
        <v/>
      </c>
      <c r="H27" s="28" t="inlineStr">
        <is>
          <t>@7</t>
        </is>
      </c>
      <c r="I27" s="56" t="inlineStr"/>
      <c r="J27" s="55" t="inlineStr"/>
      <c r="K27" s="55" t="inlineStr"/>
      <c r="L27" s="14" t="inlineStr">
        <is>
          <t>[ ]</t>
        </is>
      </c>
    </row>
    <row r="28" ht="22" customHeight="1">
      <c r="A28" s="32" t="n">
        <v>2</v>
      </c>
      <c r="B28" s="53" t="inlineStr">
        <is>
          <t>1.5-rep deadlift (knee height)</t>
        </is>
      </c>
      <c r="C28" s="34" t="inlineStr">
        <is>
          <t>Main</t>
        </is>
      </c>
      <c r="D28" s="28" t="n">
        <v>3</v>
      </c>
      <c r="E28" s="28" t="inlineStr">
        <is>
          <t>3</t>
        </is>
      </c>
      <c r="F28" s="28" t="inlineStr">
        <is>
          <t>60%</t>
        </is>
      </c>
      <c r="G28" s="35">
        <f>ROUND('Setup &amp; Dashboard'!$C$9*0.6/5, 0)*5</f>
        <v/>
      </c>
      <c r="H28" s="32" t="inlineStr"/>
      <c r="I28" s="54" t="inlineStr">
        <is>
          <t>Reset every rep; lower to just below knee, return to lockout, then lower fully. W1 60% DL max; add +5 lb/week only if clean and ≤RPE 7. Deload: 2x3 @55% max.</t>
        </is>
      </c>
      <c r="J28" s="55" t="inlineStr"/>
      <c r="K28" s="55" t="inlineStr"/>
      <c r="L28" s="14" t="inlineStr">
        <is>
          <t>[ ]</t>
        </is>
      </c>
    </row>
    <row r="29" ht="22" customHeight="1">
      <c r="A29" s="32" t="n">
        <v>3</v>
      </c>
      <c r="B29" s="57" t="inlineStr">
        <is>
          <t>Reverse hyper</t>
        </is>
      </c>
      <c r="C29" s="32" t="inlineStr">
        <is>
          <t>Acc</t>
        </is>
      </c>
      <c r="D29" s="30" t="n">
        <v>2</v>
      </c>
      <c r="E29" s="30" t="inlineStr">
        <is>
          <t>15</t>
        </is>
      </c>
      <c r="F29" s="30" t="inlineStr"/>
      <c r="G29" s="32" t="inlineStr"/>
      <c r="H29" s="32" t="inlineStr"/>
      <c r="I29" s="56" t="inlineStr"/>
      <c r="J29" s="55" t="inlineStr"/>
      <c r="K29" s="55" t="inlineStr"/>
      <c r="L29" s="14" t="inlineStr">
        <is>
          <t>[ ]</t>
        </is>
      </c>
    </row>
    <row r="30" ht="22" customHeight="1">
      <c r="A30" s="32" t="n">
        <v>4</v>
      </c>
      <c r="B30" s="57" t="inlineStr">
        <is>
          <t>Jefferson curl</t>
        </is>
      </c>
      <c r="C30" s="32" t="inlineStr">
        <is>
          <t>Acc</t>
        </is>
      </c>
      <c r="D30" s="30" t="n">
        <v>2</v>
      </c>
      <c r="E30" s="30" t="inlineStr">
        <is>
          <t>8</t>
        </is>
      </c>
      <c r="F30" s="30" t="inlineStr"/>
      <c r="G30" s="32" t="inlineStr"/>
      <c r="H30" s="32" t="inlineStr"/>
      <c r="I30" s="56" t="inlineStr"/>
      <c r="J30" s="55" t="inlineStr"/>
      <c r="K30" s="55" t="inlineStr"/>
      <c r="L30" s="14" t="inlineStr">
        <is>
          <t>[ ]</t>
        </is>
      </c>
    </row>
    <row r="31"/>
    <row r="32" ht="22" customHeight="1">
      <c r="A32" s="50" t="inlineStr">
        <is>
          <t>Day 4 : Friday — Bench variant / upper body</t>
        </is>
      </c>
    </row>
    <row r="33" ht="54" customHeight="1">
      <c r="A33" s="51" t="inlineStr">
        <is>
          <t>💡 Coaching Rationale: This is a second bench day, not a second heavy bench day. The 3-1-1 tempo at 65% keeps the weight light while you practice bar path and control. Pulldowns and arm work round out the upper body. Rowing has moved to Saturday as a heavy bent-over row.</t>
        </is>
      </c>
    </row>
    <row r="34" ht="22" customHeight="1">
      <c r="A34" s="52" t="inlineStr">
        <is>
          <t>#</t>
        </is>
      </c>
      <c r="B34" s="52" t="inlineStr">
        <is>
          <t>Exercise</t>
        </is>
      </c>
      <c r="C34" s="52" t="inlineStr">
        <is>
          <t>Type</t>
        </is>
      </c>
      <c r="D34" s="52" t="inlineStr">
        <is>
          <t>Sets</t>
        </is>
      </c>
      <c r="E34" s="52" t="inlineStr">
        <is>
          <t>Reps</t>
        </is>
      </c>
      <c r="F34" s="52" t="inlineStr">
        <is>
          <t>% 1RM</t>
        </is>
      </c>
      <c r="G34" s="52" t="inlineStr">
        <is>
          <t>Prescribed (lbs)</t>
        </is>
      </c>
      <c r="H34" s="52" t="inlineStr">
        <is>
          <t>RPE</t>
        </is>
      </c>
      <c r="I34" s="52" t="inlineStr">
        <is>
          <t>Technique Notes</t>
        </is>
      </c>
      <c r="J34" s="52" t="inlineStr">
        <is>
          <t>Actual Wt</t>
        </is>
      </c>
      <c r="K34" s="52" t="inlineStr">
        <is>
          <t>Reps/Notes</t>
        </is>
      </c>
      <c r="L34" s="52" t="inlineStr">
        <is>
          <t>Done</t>
        </is>
      </c>
    </row>
    <row r="35" ht="22" customHeight="1">
      <c r="A35" s="32" t="n">
        <v>1</v>
      </c>
      <c r="B35" s="53" t="inlineStr">
        <is>
          <t>Tempo bench (3-1-1)</t>
        </is>
      </c>
      <c r="C35" s="34" t="inlineStr">
        <is>
          <t>Main</t>
        </is>
      </c>
      <c r="D35" s="28" t="n">
        <v>4</v>
      </c>
      <c r="E35" s="28" t="inlineStr">
        <is>
          <t>4</t>
        </is>
      </c>
      <c r="F35" s="28" t="inlineStr">
        <is>
          <t>65%</t>
        </is>
      </c>
      <c r="G35" s="35">
        <f>ROUND('Setup &amp; Dashboard'!$C$8*0.65/5, 0)*5</f>
        <v/>
      </c>
      <c r="H35" s="28" t="inlineStr">
        <is>
          <t>@6-7</t>
        </is>
      </c>
      <c r="I35" s="56" t="inlineStr"/>
      <c r="J35" s="55" t="inlineStr"/>
      <c r="K35" s="55" t="inlineStr"/>
      <c r="L35" s="14" t="inlineStr">
        <is>
          <t>[ ]</t>
        </is>
      </c>
    </row>
    <row r="36" ht="22" customHeight="1">
      <c r="A36" s="32" t="n">
        <v>2</v>
      </c>
      <c r="B36" s="57" t="inlineStr">
        <is>
          <t>Lat pulldown</t>
        </is>
      </c>
      <c r="C36" s="32" t="inlineStr">
        <is>
          <t>Acc</t>
        </is>
      </c>
      <c r="D36" s="30" t="n">
        <v>3</v>
      </c>
      <c r="E36" s="30" t="inlineStr">
        <is>
          <t>12</t>
        </is>
      </c>
      <c r="F36" s="30" t="inlineStr"/>
      <c r="G36" s="32" t="inlineStr"/>
      <c r="H36" s="32" t="inlineStr"/>
      <c r="I36" s="56" t="inlineStr"/>
      <c r="J36" s="55" t="inlineStr"/>
      <c r="K36" s="55" t="inlineStr"/>
      <c r="L36" s="14" t="inlineStr">
        <is>
          <t>[ ]</t>
        </is>
      </c>
    </row>
    <row r="37" ht="22" customHeight="1">
      <c r="A37" s="32" t="n">
        <v>3</v>
      </c>
      <c r="B37" s="57" t="inlineStr">
        <is>
          <t>Lateral raise</t>
        </is>
      </c>
      <c r="C37" s="32" t="inlineStr">
        <is>
          <t>Acc</t>
        </is>
      </c>
      <c r="D37" s="30" t="n">
        <v>3</v>
      </c>
      <c r="E37" s="30" t="inlineStr">
        <is>
          <t>15</t>
        </is>
      </c>
      <c r="F37" s="30" t="inlineStr"/>
      <c r="G37" s="32" t="inlineStr"/>
      <c r="H37" s="32" t="inlineStr"/>
      <c r="I37" s="56" t="inlineStr"/>
      <c r="J37" s="55" t="inlineStr"/>
      <c r="K37" s="55" t="inlineStr"/>
      <c r="L37" s="14" t="inlineStr">
        <is>
          <t>[ ]</t>
        </is>
      </c>
    </row>
    <row r="38" ht="22" customHeight="1">
      <c r="A38" s="32" t="n">
        <v>4</v>
      </c>
      <c r="B38" s="57" t="inlineStr">
        <is>
          <t>Curl</t>
        </is>
      </c>
      <c r="C38" s="32" t="inlineStr">
        <is>
          <t>Acc</t>
        </is>
      </c>
      <c r="D38" s="30" t="n">
        <v>3</v>
      </c>
      <c r="E38" s="30" t="inlineStr">
        <is>
          <t>12</t>
        </is>
      </c>
      <c r="F38" s="30" t="inlineStr"/>
      <c r="G38" s="32" t="inlineStr"/>
      <c r="H38" s="32" t="inlineStr"/>
      <c r="I38" s="56" t="inlineStr"/>
      <c r="J38" s="55" t="inlineStr"/>
      <c r="K38" s="55" t="inlineStr"/>
      <c r="L38" s="14" t="inlineStr">
        <is>
          <t>[ ]</t>
        </is>
      </c>
    </row>
    <row r="39" ht="22" customHeight="1">
      <c r="A39" s="32" t="n">
        <v>5</v>
      </c>
      <c r="B39" s="57" t="inlineStr">
        <is>
          <t>Pallof press</t>
        </is>
      </c>
      <c r="C39" s="32" t="inlineStr">
        <is>
          <t>Acc</t>
        </is>
      </c>
      <c r="D39" s="30" t="n">
        <v>3</v>
      </c>
      <c r="E39" s="30" t="inlineStr">
        <is>
          <t>10/side</t>
        </is>
      </c>
      <c r="F39" s="30" t="inlineStr"/>
      <c r="G39" s="32" t="inlineStr"/>
      <c r="H39" s="32" t="inlineStr"/>
      <c r="I39" s="56" t="inlineStr"/>
      <c r="J39" s="55" t="inlineStr"/>
      <c r="K39" s="55" t="inlineStr"/>
      <c r="L39" s="14" t="inlineStr">
        <is>
          <t>[ ]</t>
        </is>
      </c>
    </row>
    <row r="40"/>
    <row r="41" ht="22" customHeight="1">
      <c r="A41" s="50" t="inlineStr">
        <is>
          <t>Day 5 : Saturday — Squat variant + Bent-over row</t>
        </is>
      </c>
    </row>
    <row r="42" ht="72" customHeight="1">
      <c r="A42" s="51" t="inlineStr">
        <is>
          <t>💡 Coaching Rationale: Paused squat at 70% of max builds strength in the bottom of the squat. From here it goes up a fixed 5 lb each week instead of following a percentage. The bent-over row replaces the old rack pull slot: 4 strict sets of 4-6, adding 5 lb next time only when every set is clean and RPE 8 or lower. Never row to failure.</t>
        </is>
      </c>
    </row>
    <row r="43" ht="22" customHeight="1">
      <c r="A43" s="52" t="inlineStr">
        <is>
          <t>#</t>
        </is>
      </c>
      <c r="B43" s="52" t="inlineStr">
        <is>
          <t>Exercise</t>
        </is>
      </c>
      <c r="C43" s="52" t="inlineStr">
        <is>
          <t>Type</t>
        </is>
      </c>
      <c r="D43" s="52" t="inlineStr">
        <is>
          <t>Sets</t>
        </is>
      </c>
      <c r="E43" s="52" t="inlineStr">
        <is>
          <t>Reps</t>
        </is>
      </c>
      <c r="F43" s="52" t="inlineStr">
        <is>
          <t>% 1RM</t>
        </is>
      </c>
      <c r="G43" s="52" t="inlineStr">
        <is>
          <t>Prescribed (lbs)</t>
        </is>
      </c>
      <c r="H43" s="52" t="inlineStr">
        <is>
          <t>RPE</t>
        </is>
      </c>
      <c r="I43" s="52" t="inlineStr">
        <is>
          <t>Technique Notes</t>
        </is>
      </c>
      <c r="J43" s="52" t="inlineStr">
        <is>
          <t>Actual Wt</t>
        </is>
      </c>
      <c r="K43" s="52" t="inlineStr">
        <is>
          <t>Reps/Notes</t>
        </is>
      </c>
      <c r="L43" s="52" t="inlineStr">
        <is>
          <t>Done</t>
        </is>
      </c>
    </row>
    <row r="44" ht="22" customHeight="1">
      <c r="A44" s="32" t="n">
        <v>1</v>
      </c>
      <c r="B44" s="53" t="inlineStr">
        <is>
          <t>Paused squat</t>
        </is>
      </c>
      <c r="C44" s="34" t="inlineStr">
        <is>
          <t>Main</t>
        </is>
      </c>
      <c r="D44" s="28" t="n">
        <v>3</v>
      </c>
      <c r="E44" s="28" t="inlineStr">
        <is>
          <t>3</t>
        </is>
      </c>
      <c r="F44" s="28" t="inlineStr">
        <is>
          <t>70%</t>
        </is>
      </c>
      <c r="G44" s="35">
        <f>ROUND('Setup &amp; Dashboard'!$C$7*0.7/5, 0)*5</f>
        <v/>
      </c>
      <c r="H44" s="28" t="inlineStr">
        <is>
          <t>@≤8</t>
        </is>
      </c>
      <c r="I44" s="54" t="inlineStr">
        <is>
          <t>Clean reps; no grinding</t>
        </is>
      </c>
      <c r="J44" s="55" t="inlineStr"/>
      <c r="K44" s="55" t="inlineStr"/>
      <c r="L44" s="14" t="inlineStr">
        <is>
          <t>[ ]</t>
        </is>
      </c>
    </row>
    <row r="45" ht="22" customHeight="1">
      <c r="A45" s="32" t="n">
        <v>2</v>
      </c>
      <c r="B45" s="57" t="inlineStr">
        <is>
          <t>Bent-over row</t>
        </is>
      </c>
      <c r="C45" s="32" t="inlineStr">
        <is>
          <t>Acc</t>
        </is>
      </c>
      <c r="D45" s="30" t="n">
        <v>4</v>
      </c>
      <c r="E45" s="30" t="inlineStr">
        <is>
          <t>4-6</t>
        </is>
      </c>
      <c r="F45" s="30" t="inlineStr">
        <is>
          <t>Row +5#</t>
        </is>
      </c>
      <c r="G45" s="35">
        <f>'Setup &amp; Dashboard'!$C$10+(1-1)*5</f>
        <v/>
      </c>
      <c r="H45" s="32" t="inlineStr"/>
      <c r="I45" s="54" t="inlineStr">
        <is>
          <t>4 strict sets. Add 5 lb next exposure only when every set is clean and ≤RPE 8; deload load/reps, no failure.</t>
        </is>
      </c>
      <c r="J45" s="55" t="inlineStr"/>
      <c r="K45" s="55" t="inlineStr"/>
      <c r="L45" s="14" t="inlineStr">
        <is>
          <t>[ ]</t>
        </is>
      </c>
    </row>
    <row r="46" ht="22" customHeight="1">
      <c r="A46" s="32" t="n">
        <v>3</v>
      </c>
      <c r="B46" s="57" t="inlineStr">
        <is>
          <t>Reverse hyper</t>
        </is>
      </c>
      <c r="C46" s="32" t="inlineStr">
        <is>
          <t>Acc</t>
        </is>
      </c>
      <c r="D46" s="30" t="n">
        <v>2</v>
      </c>
      <c r="E46" s="30" t="inlineStr">
        <is>
          <t>12</t>
        </is>
      </c>
      <c r="F46" s="30" t="inlineStr"/>
      <c r="G46" s="32" t="inlineStr"/>
      <c r="H46" s="32" t="inlineStr"/>
      <c r="I46" s="56" t="inlineStr"/>
      <c r="J46" s="55" t="inlineStr"/>
      <c r="K46" s="55" t="inlineStr"/>
      <c r="L46" s="14" t="inlineStr">
        <is>
          <t>[ ]</t>
        </is>
      </c>
    </row>
    <row r="47" ht="22" customHeight="1">
      <c r="A47" s="32" t="n">
        <v>4</v>
      </c>
      <c r="B47" s="57" t="inlineStr">
        <is>
          <t>GHR or Nordic curl</t>
        </is>
      </c>
      <c r="C47" s="32" t="inlineStr">
        <is>
          <t>Acc</t>
        </is>
      </c>
      <c r="D47" s="30" t="n">
        <v>3</v>
      </c>
      <c r="E47" s="30" t="inlineStr">
        <is>
          <t>8</t>
        </is>
      </c>
      <c r="F47" s="30" t="inlineStr"/>
      <c r="G47" s="32" t="inlineStr"/>
      <c r="H47" s="32" t="inlineStr"/>
      <c r="I47" s="56" t="inlineStr"/>
      <c r="J47" s="55" t="inlineStr"/>
      <c r="K47" s="55" t="inlineStr"/>
      <c r="L47" s="14" t="inlineStr">
        <is>
          <t>[ ]</t>
        </is>
      </c>
    </row>
    <row r="48" ht="22" customHeight="1">
      <c r="A48" s="32" t="n">
        <v>5</v>
      </c>
      <c r="B48" s="57" t="inlineStr">
        <is>
          <t>Jefferson curl</t>
        </is>
      </c>
      <c r="C48" s="32" t="inlineStr">
        <is>
          <t>Acc</t>
        </is>
      </c>
      <c r="D48" s="30" t="n">
        <v>1</v>
      </c>
      <c r="E48" s="30" t="inlineStr">
        <is>
          <t>8</t>
        </is>
      </c>
      <c r="F48" s="30" t="inlineStr"/>
      <c r="G48" s="32" t="inlineStr"/>
      <c r="H48" s="32" t="inlineStr"/>
      <c r="I48" s="56" t="inlineStr"/>
      <c r="J48" s="55" t="inlineStr"/>
      <c r="K48" s="55" t="inlineStr"/>
      <c r="L48" s="14" t="inlineStr">
        <is>
          <t>[ ]</t>
        </is>
      </c>
    </row>
    <row r="49"/>
    <row r="50" ht="26" customHeight="1">
      <c r="A50" s="49" t="inlineStr">
        <is>
          <t>WEEK 2 — ACCUMULATION</t>
        </is>
      </c>
    </row>
    <row r="51" ht="22" customHeight="1">
      <c r="A51" s="50" t="inlineStr">
        <is>
          <t>Day 1 : Monday — Squat</t>
        </is>
      </c>
    </row>
    <row r="52" ht="54" customHeight="1">
      <c r="A52" s="51" t="inlineStr">
        <is>
          <t>💡 Coaching Rationale: The top single goes up to 86% of max. The back-offs go to 5x4 at 73%: one more set and 3% more weight. This is the standard accumulation progression. Small, repeatable jumps let you pile up quality reps without a spike in fatigue.</t>
        </is>
      </c>
    </row>
    <row r="53" ht="22" customHeight="1">
      <c r="A53" s="52" t="inlineStr">
        <is>
          <t>#</t>
        </is>
      </c>
      <c r="B53" s="52" t="inlineStr">
        <is>
          <t>Exercise</t>
        </is>
      </c>
      <c r="C53" s="52" t="inlineStr">
        <is>
          <t>Type</t>
        </is>
      </c>
      <c r="D53" s="52" t="inlineStr">
        <is>
          <t>Sets</t>
        </is>
      </c>
      <c r="E53" s="52" t="inlineStr">
        <is>
          <t>Reps</t>
        </is>
      </c>
      <c r="F53" s="52" t="inlineStr">
        <is>
          <t>% 1RM</t>
        </is>
      </c>
      <c r="G53" s="52" t="inlineStr">
        <is>
          <t>Prescribed (lbs)</t>
        </is>
      </c>
      <c r="H53" s="52" t="inlineStr">
        <is>
          <t>RPE</t>
        </is>
      </c>
      <c r="I53" s="52" t="inlineStr">
        <is>
          <t>Technique Notes</t>
        </is>
      </c>
      <c r="J53" s="52" t="inlineStr">
        <is>
          <t>Actual Wt</t>
        </is>
      </c>
      <c r="K53" s="52" t="inlineStr">
        <is>
          <t>Reps/Notes</t>
        </is>
      </c>
      <c r="L53" s="52" t="inlineStr">
        <is>
          <t>Done</t>
        </is>
      </c>
    </row>
    <row r="54" ht="22" customHeight="1">
      <c r="A54" s="32" t="n">
        <v>1</v>
      </c>
      <c r="B54" s="53" t="inlineStr">
        <is>
          <t>Back squat — top single</t>
        </is>
      </c>
      <c r="C54" s="34" t="inlineStr">
        <is>
          <t>Main</t>
        </is>
      </c>
      <c r="D54" s="28" t="n">
        <v>1</v>
      </c>
      <c r="E54" s="28" t="inlineStr">
        <is>
          <t>1</t>
        </is>
      </c>
      <c r="F54" s="28" t="inlineStr">
        <is>
          <t>86%</t>
        </is>
      </c>
      <c r="G54" s="35">
        <f>ROUND('Setup &amp; Dashboard'!$C$7*0.86/5, 0)*5</f>
        <v/>
      </c>
      <c r="H54" s="28" t="inlineStr">
        <is>
          <t>@7.5-8</t>
        </is>
      </c>
      <c r="I54" s="54" t="inlineStr">
        <is>
          <t>Smooth single, no grind</t>
        </is>
      </c>
      <c r="J54" s="55" t="inlineStr"/>
      <c r="K54" s="55" t="inlineStr"/>
      <c r="L54" s="14" t="inlineStr">
        <is>
          <t>[ ]</t>
        </is>
      </c>
    </row>
    <row r="55" ht="22" customHeight="1">
      <c r="A55" s="32" t="n">
        <v>2</v>
      </c>
      <c r="B55" s="53" t="inlineStr">
        <is>
          <t>Back squat — back-off</t>
        </is>
      </c>
      <c r="C55" s="34" t="inlineStr">
        <is>
          <t>Main</t>
        </is>
      </c>
      <c r="D55" s="28" t="n">
        <v>5</v>
      </c>
      <c r="E55" s="28" t="inlineStr">
        <is>
          <t>4</t>
        </is>
      </c>
      <c r="F55" s="28" t="inlineStr">
        <is>
          <t>73%</t>
        </is>
      </c>
      <c r="G55" s="35">
        <f>ROUND('Setup &amp; Dashboard'!$C$7*0.73/5, 0)*5</f>
        <v/>
      </c>
      <c r="H55" s="28" t="inlineStr">
        <is>
          <t>@7</t>
        </is>
      </c>
      <c r="I55" s="56" t="inlineStr"/>
      <c r="J55" s="55" t="inlineStr"/>
      <c r="K55" s="55" t="inlineStr"/>
      <c r="L55" s="14" t="inlineStr">
        <is>
          <t>[ ]</t>
        </is>
      </c>
    </row>
    <row r="56" ht="22" customHeight="1">
      <c r="A56" s="32" t="n">
        <v>3</v>
      </c>
      <c r="B56" s="57" t="inlineStr">
        <is>
          <t>Bulgarian split squat</t>
        </is>
      </c>
      <c r="C56" s="32" t="inlineStr">
        <is>
          <t>Acc</t>
        </is>
      </c>
      <c r="D56" s="30" t="n">
        <v>3</v>
      </c>
      <c r="E56" s="30" t="inlineStr">
        <is>
          <t>10/leg</t>
        </is>
      </c>
      <c r="F56" s="30" t="inlineStr"/>
      <c r="G56" s="32" t="inlineStr"/>
      <c r="H56" s="32" t="inlineStr"/>
      <c r="I56" s="56" t="inlineStr"/>
      <c r="J56" s="55" t="inlineStr"/>
      <c r="K56" s="55" t="inlineStr"/>
      <c r="L56" s="14" t="inlineStr">
        <is>
          <t>[ ]</t>
        </is>
      </c>
    </row>
    <row r="57" ht="22" customHeight="1">
      <c r="A57" s="32" t="n">
        <v>4</v>
      </c>
      <c r="B57" s="57" t="inlineStr">
        <is>
          <t>Leg curl</t>
        </is>
      </c>
      <c r="C57" s="32" t="inlineStr">
        <is>
          <t>Acc</t>
        </is>
      </c>
      <c r="D57" s="30" t="n">
        <v>3</v>
      </c>
      <c r="E57" s="30" t="inlineStr">
        <is>
          <t>12</t>
        </is>
      </c>
      <c r="F57" s="30" t="inlineStr"/>
      <c r="G57" s="32" t="inlineStr"/>
      <c r="H57" s="32" t="inlineStr"/>
      <c r="I57" s="56" t="inlineStr"/>
      <c r="J57" s="55" t="inlineStr"/>
      <c r="K57" s="55" t="inlineStr"/>
      <c r="L57" s="14" t="inlineStr">
        <is>
          <t>[ ]</t>
        </is>
      </c>
    </row>
    <row r="58" ht="22" customHeight="1">
      <c r="A58" s="32" t="n">
        <v>5</v>
      </c>
      <c r="B58" s="57" t="inlineStr">
        <is>
          <t>Copenhagen plank</t>
        </is>
      </c>
      <c r="C58" s="32" t="inlineStr">
        <is>
          <t>Acc</t>
        </is>
      </c>
      <c r="D58" s="30" t="n">
        <v>3</v>
      </c>
      <c r="E58" s="30" t="inlineStr">
        <is>
          <t>20sec/side</t>
        </is>
      </c>
      <c r="F58" s="30" t="inlineStr"/>
      <c r="G58" s="32" t="inlineStr"/>
      <c r="H58" s="32" t="inlineStr"/>
      <c r="I58" s="56" t="inlineStr"/>
      <c r="J58" s="55" t="inlineStr"/>
      <c r="K58" s="55" t="inlineStr"/>
      <c r="L58" s="14" t="inlineStr">
        <is>
          <t>[ ]</t>
        </is>
      </c>
    </row>
    <row r="59"/>
    <row r="60" ht="22" customHeight="1">
      <c r="A60" s="50" t="inlineStr">
        <is>
          <t>Day 2 : Tuesday — Bench</t>
        </is>
      </c>
    </row>
    <row r="61" ht="36" customHeight="1">
      <c r="A61" s="51" t="inlineStr">
        <is>
          <t>💡 Coaching Rationale: Bench goes to 7x4 at 73% of max, one more set and 3% more weight than Week 1. You should still finish each set with 2-3 reps in reserve.</t>
        </is>
      </c>
    </row>
    <row r="62" ht="22" customHeight="1">
      <c r="A62" s="52" t="inlineStr">
        <is>
          <t>#</t>
        </is>
      </c>
      <c r="B62" s="52" t="inlineStr">
        <is>
          <t>Exercise</t>
        </is>
      </c>
      <c r="C62" s="52" t="inlineStr">
        <is>
          <t>Type</t>
        </is>
      </c>
      <c r="D62" s="52" t="inlineStr">
        <is>
          <t>Sets</t>
        </is>
      </c>
      <c r="E62" s="52" t="inlineStr">
        <is>
          <t>Reps</t>
        </is>
      </c>
      <c r="F62" s="52" t="inlineStr">
        <is>
          <t>% 1RM</t>
        </is>
      </c>
      <c r="G62" s="52" t="inlineStr">
        <is>
          <t>Prescribed (lbs)</t>
        </is>
      </c>
      <c r="H62" s="52" t="inlineStr">
        <is>
          <t>RPE</t>
        </is>
      </c>
      <c r="I62" s="52" t="inlineStr">
        <is>
          <t>Technique Notes</t>
        </is>
      </c>
      <c r="J62" s="52" t="inlineStr">
        <is>
          <t>Actual Wt</t>
        </is>
      </c>
      <c r="K62" s="52" t="inlineStr">
        <is>
          <t>Reps/Notes</t>
        </is>
      </c>
      <c r="L62" s="52" t="inlineStr">
        <is>
          <t>Done</t>
        </is>
      </c>
    </row>
    <row r="63" ht="22" customHeight="1">
      <c r="A63" s="32" t="n">
        <v>1</v>
      </c>
      <c r="B63" s="53" t="inlineStr">
        <is>
          <t>Bench press</t>
        </is>
      </c>
      <c r="C63" s="34" t="inlineStr">
        <is>
          <t>Main</t>
        </is>
      </c>
      <c r="D63" s="28" t="n">
        <v>7</v>
      </c>
      <c r="E63" s="28" t="inlineStr">
        <is>
          <t>4</t>
        </is>
      </c>
      <c r="F63" s="28" t="inlineStr">
        <is>
          <t>73%</t>
        </is>
      </c>
      <c r="G63" s="35">
        <f>ROUND('Setup &amp; Dashboard'!$C$8*0.73/5, 0)*5</f>
        <v/>
      </c>
      <c r="H63" s="28" t="inlineStr">
        <is>
          <t>@7</t>
        </is>
      </c>
      <c r="I63" s="56" t="inlineStr"/>
      <c r="J63" s="55" t="inlineStr"/>
      <c r="K63" s="55" t="inlineStr"/>
      <c r="L63" s="14" t="inlineStr">
        <is>
          <t>[ ]</t>
        </is>
      </c>
    </row>
    <row r="64" ht="22" customHeight="1">
      <c r="A64" s="32" t="n">
        <v>2</v>
      </c>
      <c r="B64" s="57" t="inlineStr">
        <is>
          <t>Close-grip bench</t>
        </is>
      </c>
      <c r="C64" s="32" t="inlineStr">
        <is>
          <t>Acc</t>
        </is>
      </c>
      <c r="D64" s="30" t="n">
        <v>3</v>
      </c>
      <c r="E64" s="30" t="inlineStr">
        <is>
          <t>6</t>
        </is>
      </c>
      <c r="F64" s="30" t="inlineStr"/>
      <c r="G64" s="32" t="inlineStr"/>
      <c r="H64" s="32" t="inlineStr"/>
      <c r="I64" s="56" t="inlineStr"/>
      <c r="J64" s="55" t="inlineStr"/>
      <c r="K64" s="55" t="inlineStr"/>
      <c r="L64" s="14" t="inlineStr">
        <is>
          <t>[ ]</t>
        </is>
      </c>
    </row>
    <row r="65" ht="22" customHeight="1">
      <c r="A65" s="32" t="n">
        <v>3</v>
      </c>
      <c r="B65" s="57" t="inlineStr">
        <is>
          <t>Incline DB press</t>
        </is>
      </c>
      <c r="C65" s="32" t="inlineStr">
        <is>
          <t>Acc</t>
        </is>
      </c>
      <c r="D65" s="30" t="n">
        <v>3</v>
      </c>
      <c r="E65" s="30" t="inlineStr">
        <is>
          <t>12</t>
        </is>
      </c>
      <c r="F65" s="30" t="inlineStr"/>
      <c r="G65" s="32" t="inlineStr"/>
      <c r="H65" s="32" t="inlineStr"/>
      <c r="I65" s="56" t="inlineStr"/>
      <c r="J65" s="55" t="inlineStr"/>
      <c r="K65" s="55" t="inlineStr"/>
      <c r="L65" s="14" t="inlineStr">
        <is>
          <t>[ ]</t>
        </is>
      </c>
    </row>
    <row r="66" ht="22" customHeight="1">
      <c r="A66" s="32" t="n">
        <v>4</v>
      </c>
      <c r="B66" s="57" t="inlineStr">
        <is>
          <t>Triceps pressdown</t>
        </is>
      </c>
      <c r="C66" s="32" t="inlineStr">
        <is>
          <t>Acc</t>
        </is>
      </c>
      <c r="D66" s="30" t="n">
        <v>3</v>
      </c>
      <c r="E66" s="30" t="inlineStr">
        <is>
          <t>12</t>
        </is>
      </c>
      <c r="F66" s="30" t="inlineStr"/>
      <c r="G66" s="32" t="inlineStr"/>
      <c r="H66" s="32" t="inlineStr"/>
      <c r="I66" s="56" t="inlineStr"/>
      <c r="J66" s="55" t="inlineStr"/>
      <c r="K66" s="55" t="inlineStr"/>
      <c r="L66" s="14" t="inlineStr">
        <is>
          <t>[ ]</t>
        </is>
      </c>
    </row>
    <row r="67" ht="22" customHeight="1">
      <c r="A67" s="32" t="n">
        <v>5</v>
      </c>
      <c r="B67" s="57" t="inlineStr">
        <is>
          <t>Face pull</t>
        </is>
      </c>
      <c r="C67" s="32" t="inlineStr">
        <is>
          <t>Acc</t>
        </is>
      </c>
      <c r="D67" s="30" t="n">
        <v>3</v>
      </c>
      <c r="E67" s="30" t="inlineStr">
        <is>
          <t>15</t>
        </is>
      </c>
      <c r="F67" s="30" t="inlineStr"/>
      <c r="G67" s="32" t="inlineStr"/>
      <c r="H67" s="32" t="inlineStr"/>
      <c r="I67" s="56" t="inlineStr"/>
      <c r="J67" s="55" t="inlineStr"/>
      <c r="K67" s="55" t="inlineStr"/>
      <c r="L67" s="14" t="inlineStr">
        <is>
          <t>[ ]</t>
        </is>
      </c>
    </row>
    <row r="68"/>
    <row r="69" ht="22" customHeight="1">
      <c r="A69" s="50" t="inlineStr">
        <is>
          <t>Day 3 : Thursday — Deadlift</t>
        </is>
      </c>
    </row>
    <row r="70" ht="54" customHeight="1">
      <c r="A70" s="51" t="inlineStr">
        <is>
          <t>💡 Coaching Rationale: Deadlift goes up to 72% but stays at 3 sets. Deadlift doesn't get an extra set here because each set costs so much recovery. The 1.5-rep deadlift adds its first 5 lb. Only take the jump if last week's reps were clean and RPE 7 or lower.</t>
        </is>
      </c>
    </row>
    <row r="71" ht="22" customHeight="1">
      <c r="A71" s="52" t="inlineStr">
        <is>
          <t>#</t>
        </is>
      </c>
      <c r="B71" s="52" t="inlineStr">
        <is>
          <t>Exercise</t>
        </is>
      </c>
      <c r="C71" s="52" t="inlineStr">
        <is>
          <t>Type</t>
        </is>
      </c>
      <c r="D71" s="52" t="inlineStr">
        <is>
          <t>Sets</t>
        </is>
      </c>
      <c r="E71" s="52" t="inlineStr">
        <is>
          <t>Reps</t>
        </is>
      </c>
      <c r="F71" s="52" t="inlineStr">
        <is>
          <t>% 1RM</t>
        </is>
      </c>
      <c r="G71" s="52" t="inlineStr">
        <is>
          <t>Prescribed (lbs)</t>
        </is>
      </c>
      <c r="H71" s="52" t="inlineStr">
        <is>
          <t>RPE</t>
        </is>
      </c>
      <c r="I71" s="52" t="inlineStr">
        <is>
          <t>Technique Notes</t>
        </is>
      </c>
      <c r="J71" s="52" t="inlineStr">
        <is>
          <t>Actual Wt</t>
        </is>
      </c>
      <c r="K71" s="52" t="inlineStr">
        <is>
          <t>Reps/Notes</t>
        </is>
      </c>
      <c r="L71" s="52" t="inlineStr">
        <is>
          <t>Done</t>
        </is>
      </c>
    </row>
    <row r="72" ht="22" customHeight="1">
      <c r="A72" s="32" t="n">
        <v>1</v>
      </c>
      <c r="B72" s="53" t="inlineStr">
        <is>
          <t>Deadlift</t>
        </is>
      </c>
      <c r="C72" s="34" t="inlineStr">
        <is>
          <t>Main</t>
        </is>
      </c>
      <c r="D72" s="28" t="n">
        <v>3</v>
      </c>
      <c r="E72" s="28" t="inlineStr">
        <is>
          <t>4</t>
        </is>
      </c>
      <c r="F72" s="28" t="inlineStr">
        <is>
          <t>72%</t>
        </is>
      </c>
      <c r="G72" s="35">
        <f>ROUND('Setup &amp; Dashboard'!$C$9*0.72/5, 0)*5</f>
        <v/>
      </c>
      <c r="H72" s="28" t="inlineStr">
        <is>
          <t>@7</t>
        </is>
      </c>
      <c r="I72" s="56" t="inlineStr"/>
      <c r="J72" s="55" t="inlineStr"/>
      <c r="K72" s="55" t="inlineStr"/>
      <c r="L72" s="14" t="inlineStr">
        <is>
          <t>[ ]</t>
        </is>
      </c>
    </row>
    <row r="73" ht="22" customHeight="1">
      <c r="A73" s="32" t="n">
        <v>2</v>
      </c>
      <c r="B73" s="53" t="inlineStr">
        <is>
          <t>1.5-rep deadlift (knee height)</t>
        </is>
      </c>
      <c r="C73" s="34" t="inlineStr">
        <is>
          <t>Main</t>
        </is>
      </c>
      <c r="D73" s="28" t="n">
        <v>3</v>
      </c>
      <c r="E73" s="28" t="inlineStr">
        <is>
          <t>3</t>
        </is>
      </c>
      <c r="F73" s="28" t="inlineStr">
        <is>
          <t xml:space="preserve">60% +5# </t>
        </is>
      </c>
      <c r="G73" s="35">
        <f>ROUND('Setup &amp; Dashboard'!$C$9*0.6/5, 0)*5+5</f>
        <v/>
      </c>
      <c r="H73" s="32" t="inlineStr"/>
      <c r="I73" s="54" t="inlineStr">
        <is>
          <t>Reset every rep; lower to just below knee, return to lockout, then lower fully. W1 60% DL max; add +5 lb/week only if clean and ≤RPE 7. Deload: 2x3 @55% max.</t>
        </is>
      </c>
      <c r="J73" s="55" t="inlineStr"/>
      <c r="K73" s="55" t="inlineStr"/>
      <c r="L73" s="14" t="inlineStr">
        <is>
          <t>[ ]</t>
        </is>
      </c>
    </row>
    <row r="74" ht="22" customHeight="1">
      <c r="A74" s="32" t="n">
        <v>3</v>
      </c>
      <c r="B74" s="57" t="inlineStr">
        <is>
          <t>Reverse hyper</t>
        </is>
      </c>
      <c r="C74" s="32" t="inlineStr">
        <is>
          <t>Acc</t>
        </is>
      </c>
      <c r="D74" s="30" t="n">
        <v>2</v>
      </c>
      <c r="E74" s="30" t="inlineStr">
        <is>
          <t>15</t>
        </is>
      </c>
      <c r="F74" s="30" t="inlineStr"/>
      <c r="G74" s="32" t="inlineStr"/>
      <c r="H74" s="32" t="inlineStr"/>
      <c r="I74" s="56" t="inlineStr"/>
      <c r="J74" s="55" t="inlineStr"/>
      <c r="K74" s="55" t="inlineStr"/>
      <c r="L74" s="14" t="inlineStr">
        <is>
          <t>[ ]</t>
        </is>
      </c>
    </row>
    <row r="75" ht="22" customHeight="1">
      <c r="A75" s="32" t="n">
        <v>4</v>
      </c>
      <c r="B75" s="57" t="inlineStr">
        <is>
          <t>Jefferson curl</t>
        </is>
      </c>
      <c r="C75" s="32" t="inlineStr">
        <is>
          <t>Acc</t>
        </is>
      </c>
      <c r="D75" s="30" t="n">
        <v>2</v>
      </c>
      <c r="E75" s="30" t="inlineStr">
        <is>
          <t>8</t>
        </is>
      </c>
      <c r="F75" s="30" t="inlineStr"/>
      <c r="G75" s="32" t="inlineStr"/>
      <c r="H75" s="32" t="inlineStr"/>
      <c r="I75" s="56" t="inlineStr"/>
      <c r="J75" s="55" t="inlineStr"/>
      <c r="K75" s="55" t="inlineStr"/>
      <c r="L75" s="14" t="inlineStr">
        <is>
          <t>[ ]</t>
        </is>
      </c>
    </row>
    <row r="76"/>
    <row r="77" ht="22" customHeight="1">
      <c r="A77" s="50" t="inlineStr">
        <is>
          <t>Day 4 : Friday — Bench variant / upper body</t>
        </is>
      </c>
    </row>
    <row r="78" ht="54" customHeight="1">
      <c r="A78" s="51" t="inlineStr">
        <is>
          <t>💡 Coaching Rationale: Paused bench replaces tempo bench as the lighter bench movement. It works a different skill (strength from a dead stop on the chest) at a similar easy weight, so this day doesn't get stale.</t>
        </is>
      </c>
    </row>
    <row r="79" ht="22" customHeight="1">
      <c r="A79" s="52" t="inlineStr">
        <is>
          <t>#</t>
        </is>
      </c>
      <c r="B79" s="52" t="inlineStr">
        <is>
          <t>Exercise</t>
        </is>
      </c>
      <c r="C79" s="52" t="inlineStr">
        <is>
          <t>Type</t>
        </is>
      </c>
      <c r="D79" s="52" t="inlineStr">
        <is>
          <t>Sets</t>
        </is>
      </c>
      <c r="E79" s="52" t="inlineStr">
        <is>
          <t>Reps</t>
        </is>
      </c>
      <c r="F79" s="52" t="inlineStr">
        <is>
          <t>% 1RM</t>
        </is>
      </c>
      <c r="G79" s="52" t="inlineStr">
        <is>
          <t>Prescribed (lbs)</t>
        </is>
      </c>
      <c r="H79" s="52" t="inlineStr">
        <is>
          <t>RPE</t>
        </is>
      </c>
      <c r="I79" s="52" t="inlineStr">
        <is>
          <t>Technique Notes</t>
        </is>
      </c>
      <c r="J79" s="52" t="inlineStr">
        <is>
          <t>Actual Wt</t>
        </is>
      </c>
      <c r="K79" s="52" t="inlineStr">
        <is>
          <t>Reps/Notes</t>
        </is>
      </c>
      <c r="L79" s="52" t="inlineStr">
        <is>
          <t>Done</t>
        </is>
      </c>
    </row>
    <row r="80" ht="22" customHeight="1">
      <c r="A80" s="32" t="n">
        <v>1</v>
      </c>
      <c r="B80" s="53" t="inlineStr">
        <is>
          <t>Paused bench</t>
        </is>
      </c>
      <c r="C80" s="34" t="inlineStr">
        <is>
          <t>Main</t>
        </is>
      </c>
      <c r="D80" s="28" t="n">
        <v>4</v>
      </c>
      <c r="E80" s="28" t="inlineStr">
        <is>
          <t>3</t>
        </is>
      </c>
      <c r="F80" s="28" t="inlineStr">
        <is>
          <t>70%</t>
        </is>
      </c>
      <c r="G80" s="35">
        <f>ROUND('Setup &amp; Dashboard'!$C$8*0.7/5, 0)*5</f>
        <v/>
      </c>
      <c r="H80" s="28" t="inlineStr">
        <is>
          <t>@7</t>
        </is>
      </c>
      <c r="I80" s="56" t="inlineStr"/>
      <c r="J80" s="55" t="inlineStr"/>
      <c r="K80" s="55" t="inlineStr"/>
      <c r="L80" s="14" t="inlineStr">
        <is>
          <t>[ ]</t>
        </is>
      </c>
    </row>
    <row r="81" ht="22" customHeight="1">
      <c r="A81" s="32" t="n">
        <v>2</v>
      </c>
      <c r="B81" s="57" t="inlineStr">
        <is>
          <t>Lat pulldown</t>
        </is>
      </c>
      <c r="C81" s="32" t="inlineStr">
        <is>
          <t>Acc</t>
        </is>
      </c>
      <c r="D81" s="30" t="n">
        <v>3</v>
      </c>
      <c r="E81" s="30" t="inlineStr">
        <is>
          <t>12</t>
        </is>
      </c>
      <c r="F81" s="30" t="inlineStr"/>
      <c r="G81" s="32" t="inlineStr"/>
      <c r="H81" s="32" t="inlineStr"/>
      <c r="I81" s="56" t="inlineStr"/>
      <c r="J81" s="55" t="inlineStr"/>
      <c r="K81" s="55" t="inlineStr"/>
      <c r="L81" s="14" t="inlineStr">
        <is>
          <t>[ ]</t>
        </is>
      </c>
    </row>
    <row r="82" ht="22" customHeight="1">
      <c r="A82" s="32" t="n">
        <v>3</v>
      </c>
      <c r="B82" s="57" t="inlineStr">
        <is>
          <t>Lateral raise</t>
        </is>
      </c>
      <c r="C82" s="32" t="inlineStr">
        <is>
          <t>Acc</t>
        </is>
      </c>
      <c r="D82" s="30" t="n">
        <v>3</v>
      </c>
      <c r="E82" s="30" t="inlineStr">
        <is>
          <t>15</t>
        </is>
      </c>
      <c r="F82" s="30" t="inlineStr"/>
      <c r="G82" s="32" t="inlineStr"/>
      <c r="H82" s="32" t="inlineStr"/>
      <c r="I82" s="56" t="inlineStr"/>
      <c r="J82" s="55" t="inlineStr"/>
      <c r="K82" s="55" t="inlineStr"/>
      <c r="L82" s="14" t="inlineStr">
        <is>
          <t>[ ]</t>
        </is>
      </c>
    </row>
    <row r="83" ht="22" customHeight="1">
      <c r="A83" s="32" t="n">
        <v>4</v>
      </c>
      <c r="B83" s="57" t="inlineStr">
        <is>
          <t>Curl</t>
        </is>
      </c>
      <c r="C83" s="32" t="inlineStr">
        <is>
          <t>Acc</t>
        </is>
      </c>
      <c r="D83" s="30" t="n">
        <v>3</v>
      </c>
      <c r="E83" s="30" t="inlineStr">
        <is>
          <t>12</t>
        </is>
      </c>
      <c r="F83" s="30" t="inlineStr"/>
      <c r="G83" s="32" t="inlineStr"/>
      <c r="H83" s="32" t="inlineStr"/>
      <c r="I83" s="56" t="inlineStr"/>
      <c r="J83" s="55" t="inlineStr"/>
      <c r="K83" s="55" t="inlineStr"/>
      <c r="L83" s="14" t="inlineStr">
        <is>
          <t>[ ]</t>
        </is>
      </c>
    </row>
    <row r="84" ht="22" customHeight="1">
      <c r="A84" s="32" t="n">
        <v>5</v>
      </c>
      <c r="B84" s="57" t="inlineStr">
        <is>
          <t>Pallof press</t>
        </is>
      </c>
      <c r="C84" s="32" t="inlineStr">
        <is>
          <t>Acc</t>
        </is>
      </c>
      <c r="D84" s="30" t="n">
        <v>3</v>
      </c>
      <c r="E84" s="30" t="inlineStr">
        <is>
          <t>10/side</t>
        </is>
      </c>
      <c r="F84" s="30" t="inlineStr"/>
      <c r="G84" s="32" t="inlineStr"/>
      <c r="H84" s="32" t="inlineStr"/>
      <c r="I84" s="56" t="inlineStr"/>
      <c r="J84" s="55" t="inlineStr"/>
      <c r="K84" s="55" t="inlineStr"/>
      <c r="L84" s="14" t="inlineStr">
        <is>
          <t>[ ]</t>
        </is>
      </c>
    </row>
    <row r="85"/>
    <row r="86" ht="22" customHeight="1">
      <c r="A86" s="50" t="inlineStr">
        <is>
          <t>Day 5 : Saturday — Squat variant + Bent-over row</t>
        </is>
      </c>
    </row>
    <row r="87" ht="36" customHeight="1">
      <c r="A87" s="51" t="inlineStr">
        <is>
          <t>💡 Coaching Rationale: Paused squat moves to 3x5 at base + 5 lb, which is the highest-rep week of this lift. The bent-over row keeps its 4x4-6 structure. The weight only goes up if last week was clean.</t>
        </is>
      </c>
    </row>
    <row r="88" ht="22" customHeight="1">
      <c r="A88" s="52" t="inlineStr">
        <is>
          <t>#</t>
        </is>
      </c>
      <c r="B88" s="52" t="inlineStr">
        <is>
          <t>Exercise</t>
        </is>
      </c>
      <c r="C88" s="52" t="inlineStr">
        <is>
          <t>Type</t>
        </is>
      </c>
      <c r="D88" s="52" t="inlineStr">
        <is>
          <t>Sets</t>
        </is>
      </c>
      <c r="E88" s="52" t="inlineStr">
        <is>
          <t>Reps</t>
        </is>
      </c>
      <c r="F88" s="52" t="inlineStr">
        <is>
          <t>% 1RM</t>
        </is>
      </c>
      <c r="G88" s="52" t="inlineStr">
        <is>
          <t>Prescribed (lbs)</t>
        </is>
      </c>
      <c r="H88" s="52" t="inlineStr">
        <is>
          <t>RPE</t>
        </is>
      </c>
      <c r="I88" s="52" t="inlineStr">
        <is>
          <t>Technique Notes</t>
        </is>
      </c>
      <c r="J88" s="52" t="inlineStr">
        <is>
          <t>Actual Wt</t>
        </is>
      </c>
      <c r="K88" s="52" t="inlineStr">
        <is>
          <t>Reps/Notes</t>
        </is>
      </c>
      <c r="L88" s="52" t="inlineStr">
        <is>
          <t>Done</t>
        </is>
      </c>
    </row>
    <row r="89" ht="22" customHeight="1">
      <c r="A89" s="32" t="n">
        <v>1</v>
      </c>
      <c r="B89" s="53" t="inlineStr">
        <is>
          <t>Paused squat</t>
        </is>
      </c>
      <c r="C89" s="34" t="inlineStr">
        <is>
          <t>Main</t>
        </is>
      </c>
      <c r="D89" s="28" t="n">
        <v>3</v>
      </c>
      <c r="E89" s="28" t="inlineStr">
        <is>
          <t>5</t>
        </is>
      </c>
      <c r="F89" s="28" t="inlineStr">
        <is>
          <t xml:space="preserve">70% +5# </t>
        </is>
      </c>
      <c r="G89" s="35">
        <f>ROUND('Setup &amp; Dashboard'!$C$7*0.7/5, 0)*5+5</f>
        <v/>
      </c>
      <c r="H89" s="28" t="inlineStr">
        <is>
          <t>@≤8</t>
        </is>
      </c>
      <c r="I89" s="54" t="inlineStr">
        <is>
          <t>Clean reps; no grinding</t>
        </is>
      </c>
      <c r="J89" s="55" t="inlineStr"/>
      <c r="K89" s="55" t="inlineStr"/>
      <c r="L89" s="14" t="inlineStr">
        <is>
          <t>[ ]</t>
        </is>
      </c>
    </row>
    <row r="90" ht="22" customHeight="1">
      <c r="A90" s="32" t="n">
        <v>2</v>
      </c>
      <c r="B90" s="57" t="inlineStr">
        <is>
          <t>Bent-over row</t>
        </is>
      </c>
      <c r="C90" s="32" t="inlineStr">
        <is>
          <t>Acc</t>
        </is>
      </c>
      <c r="D90" s="30" t="n">
        <v>4</v>
      </c>
      <c r="E90" s="30" t="inlineStr">
        <is>
          <t>4-6</t>
        </is>
      </c>
      <c r="F90" s="30" t="inlineStr">
        <is>
          <t>Row +5#</t>
        </is>
      </c>
      <c r="G90" s="35">
        <f>'Setup &amp; Dashboard'!$C$10+(2-1)*5</f>
        <v/>
      </c>
      <c r="H90" s="32" t="inlineStr"/>
      <c r="I90" s="54" t="inlineStr">
        <is>
          <t>4 strict sets. Add 5 lb next exposure only when every set is clean and ≤RPE 8; deload load/reps, no failure.</t>
        </is>
      </c>
      <c r="J90" s="55" t="inlineStr"/>
      <c r="K90" s="55" t="inlineStr"/>
      <c r="L90" s="14" t="inlineStr">
        <is>
          <t>[ ]</t>
        </is>
      </c>
    </row>
    <row r="91" ht="22" customHeight="1">
      <c r="A91" s="32" t="n">
        <v>3</v>
      </c>
      <c r="B91" s="57" t="inlineStr">
        <is>
          <t>Reverse hyper</t>
        </is>
      </c>
      <c r="C91" s="32" t="inlineStr">
        <is>
          <t>Acc</t>
        </is>
      </c>
      <c r="D91" s="30" t="n">
        <v>2</v>
      </c>
      <c r="E91" s="30" t="inlineStr">
        <is>
          <t>12</t>
        </is>
      </c>
      <c r="F91" s="30" t="inlineStr"/>
      <c r="G91" s="32" t="inlineStr"/>
      <c r="H91" s="32" t="inlineStr"/>
      <c r="I91" s="56" t="inlineStr"/>
      <c r="J91" s="55" t="inlineStr"/>
      <c r="K91" s="55" t="inlineStr"/>
      <c r="L91" s="14" t="inlineStr">
        <is>
          <t>[ ]</t>
        </is>
      </c>
    </row>
    <row r="92" ht="22" customHeight="1">
      <c r="A92" s="32" t="n">
        <v>4</v>
      </c>
      <c r="B92" s="57" t="inlineStr">
        <is>
          <t>GHR or Nordic curl</t>
        </is>
      </c>
      <c r="C92" s="32" t="inlineStr">
        <is>
          <t>Acc</t>
        </is>
      </c>
      <c r="D92" s="30" t="n">
        <v>3</v>
      </c>
      <c r="E92" s="30" t="inlineStr">
        <is>
          <t>8</t>
        </is>
      </c>
      <c r="F92" s="30" t="inlineStr"/>
      <c r="G92" s="32" t="inlineStr"/>
      <c r="H92" s="32" t="inlineStr"/>
      <c r="I92" s="56" t="inlineStr"/>
      <c r="J92" s="55" t="inlineStr"/>
      <c r="K92" s="55" t="inlineStr"/>
      <c r="L92" s="14" t="inlineStr">
        <is>
          <t>[ ]</t>
        </is>
      </c>
    </row>
    <row r="93"/>
    <row r="94" ht="26" customHeight="1">
      <c r="A94" s="49" t="inlineStr">
        <is>
          <t>WEEK 3 — ACCUMULATION</t>
        </is>
      </c>
    </row>
    <row r="95" ht="22" customHeight="1">
      <c r="A95" s="50" t="inlineStr">
        <is>
          <t>Day 1 : Monday — Squat</t>
        </is>
      </c>
    </row>
    <row r="96" ht="54" customHeight="1">
      <c r="A96" s="51" t="inlineStr">
        <is>
          <t>💡 Coaching Rationale: The top single goes to 87% of max and stays there through Week 4. The back-offs switch to 6x3 at 77%. Reps per set drop but total weight lifted keeps climbing, which is how accumulation builds work capacity without RPE spiking.</t>
        </is>
      </c>
    </row>
    <row r="97" ht="22" customHeight="1">
      <c r="A97" s="52" t="inlineStr">
        <is>
          <t>#</t>
        </is>
      </c>
      <c r="B97" s="52" t="inlineStr">
        <is>
          <t>Exercise</t>
        </is>
      </c>
      <c r="C97" s="52" t="inlineStr">
        <is>
          <t>Type</t>
        </is>
      </c>
      <c r="D97" s="52" t="inlineStr">
        <is>
          <t>Sets</t>
        </is>
      </c>
      <c r="E97" s="52" t="inlineStr">
        <is>
          <t>Reps</t>
        </is>
      </c>
      <c r="F97" s="52" t="inlineStr">
        <is>
          <t>% 1RM</t>
        </is>
      </c>
      <c r="G97" s="52" t="inlineStr">
        <is>
          <t>Prescribed (lbs)</t>
        </is>
      </c>
      <c r="H97" s="52" t="inlineStr">
        <is>
          <t>RPE</t>
        </is>
      </c>
      <c r="I97" s="52" t="inlineStr">
        <is>
          <t>Technique Notes</t>
        </is>
      </c>
      <c r="J97" s="52" t="inlineStr">
        <is>
          <t>Actual Wt</t>
        </is>
      </c>
      <c r="K97" s="52" t="inlineStr">
        <is>
          <t>Reps/Notes</t>
        </is>
      </c>
      <c r="L97" s="52" t="inlineStr">
        <is>
          <t>Done</t>
        </is>
      </c>
    </row>
    <row r="98" ht="22" customHeight="1">
      <c r="A98" s="32" t="n">
        <v>1</v>
      </c>
      <c r="B98" s="53" t="inlineStr">
        <is>
          <t>Squat — top single</t>
        </is>
      </c>
      <c r="C98" s="34" t="inlineStr">
        <is>
          <t>Main</t>
        </is>
      </c>
      <c r="D98" s="28" t="n">
        <v>1</v>
      </c>
      <c r="E98" s="28" t="inlineStr">
        <is>
          <t>1</t>
        </is>
      </c>
      <c r="F98" s="28" t="inlineStr">
        <is>
          <t>87%</t>
        </is>
      </c>
      <c r="G98" s="35">
        <f>ROUND('Setup &amp; Dashboard'!$C$7*0.87/5, 0)*5</f>
        <v/>
      </c>
      <c r="H98" s="28" t="inlineStr">
        <is>
          <t>@7.5-8</t>
        </is>
      </c>
      <c r="I98" s="54" t="inlineStr">
        <is>
          <t>Smooth single, no grind</t>
        </is>
      </c>
      <c r="J98" s="55" t="inlineStr"/>
      <c r="K98" s="55" t="inlineStr"/>
      <c r="L98" s="14" t="inlineStr">
        <is>
          <t>[ ]</t>
        </is>
      </c>
    </row>
    <row r="99" ht="22" customHeight="1">
      <c r="A99" s="32" t="n">
        <v>2</v>
      </c>
      <c r="B99" s="53" t="inlineStr">
        <is>
          <t>Squat — back-off</t>
        </is>
      </c>
      <c r="C99" s="34" t="inlineStr">
        <is>
          <t>Main</t>
        </is>
      </c>
      <c r="D99" s="28" t="n">
        <v>6</v>
      </c>
      <c r="E99" s="28" t="inlineStr">
        <is>
          <t>3</t>
        </is>
      </c>
      <c r="F99" s="28" t="inlineStr">
        <is>
          <t>77%</t>
        </is>
      </c>
      <c r="G99" s="35">
        <f>ROUND('Setup &amp; Dashboard'!$C$7*0.77/5, 0)*5</f>
        <v/>
      </c>
      <c r="H99" s="28" t="inlineStr">
        <is>
          <t>@7-8</t>
        </is>
      </c>
      <c r="I99" s="56" t="inlineStr"/>
      <c r="J99" s="55" t="inlineStr"/>
      <c r="K99" s="55" t="inlineStr"/>
      <c r="L99" s="14" t="inlineStr">
        <is>
          <t>[ ]</t>
        </is>
      </c>
    </row>
    <row r="100" ht="22" customHeight="1">
      <c r="A100" s="32" t="n">
        <v>3</v>
      </c>
      <c r="B100" s="57" t="inlineStr">
        <is>
          <t>Bulgarian split squat</t>
        </is>
      </c>
      <c r="C100" s="32" t="inlineStr">
        <is>
          <t>Acc</t>
        </is>
      </c>
      <c r="D100" s="30" t="n">
        <v>3</v>
      </c>
      <c r="E100" s="30" t="inlineStr">
        <is>
          <t>8-10/leg</t>
        </is>
      </c>
      <c r="F100" s="30" t="inlineStr"/>
      <c r="G100" s="32" t="inlineStr"/>
      <c r="H100" s="32" t="inlineStr"/>
      <c r="I100" s="56" t="inlineStr"/>
      <c r="J100" s="55" t="inlineStr"/>
      <c r="K100" s="55" t="inlineStr"/>
      <c r="L100" s="14" t="inlineStr">
        <is>
          <t>[ ]</t>
        </is>
      </c>
    </row>
    <row r="101" ht="22" customHeight="1">
      <c r="A101" s="32" t="n">
        <v>4</v>
      </c>
      <c r="B101" s="57" t="inlineStr">
        <is>
          <t>Leg curl</t>
        </is>
      </c>
      <c r="C101" s="32" t="inlineStr">
        <is>
          <t>Acc</t>
        </is>
      </c>
      <c r="D101" s="30" t="n">
        <v>3</v>
      </c>
      <c r="E101" s="30" t="inlineStr">
        <is>
          <t>12</t>
        </is>
      </c>
      <c r="F101" s="30" t="inlineStr"/>
      <c r="G101" s="32" t="inlineStr"/>
      <c r="H101" s="32" t="inlineStr"/>
      <c r="I101" s="56" t="inlineStr"/>
      <c r="J101" s="55" t="inlineStr"/>
      <c r="K101" s="55" t="inlineStr"/>
      <c r="L101" s="14" t="inlineStr">
        <is>
          <t>[ ]</t>
        </is>
      </c>
    </row>
    <row r="102" ht="22" customHeight="1">
      <c r="A102" s="32" t="n">
        <v>5</v>
      </c>
      <c r="B102" s="57" t="inlineStr">
        <is>
          <t>Copenhagen plank</t>
        </is>
      </c>
      <c r="C102" s="32" t="inlineStr">
        <is>
          <t>Acc</t>
        </is>
      </c>
      <c r="D102" s="30" t="n">
        <v>3</v>
      </c>
      <c r="E102" s="30" t="inlineStr">
        <is>
          <t>30sec/side</t>
        </is>
      </c>
      <c r="F102" s="30" t="inlineStr"/>
      <c r="G102" s="32" t="inlineStr"/>
      <c r="H102" s="32" t="inlineStr"/>
      <c r="I102" s="56" t="inlineStr"/>
      <c r="J102" s="55" t="inlineStr"/>
      <c r="K102" s="55" t="inlineStr"/>
      <c r="L102" s="14" t="inlineStr">
        <is>
          <t>[ ]</t>
        </is>
      </c>
    </row>
    <row r="103"/>
    <row r="104" ht="22" customHeight="1">
      <c r="A104" s="50" t="inlineStr">
        <is>
          <t>Day 2 : Tuesday — Bench</t>
        </is>
      </c>
    </row>
    <row r="105" ht="36" customHeight="1">
      <c r="A105" s="51" t="inlineStr">
        <is>
          <t>💡 Coaching Rationale: Bench stays at 7 sets but moves to 76% of max. RPE creeping to 7-8 is expected and fine. This is still submaximal work.</t>
        </is>
      </c>
    </row>
    <row r="106" ht="22" customHeight="1">
      <c r="A106" s="52" t="inlineStr">
        <is>
          <t>#</t>
        </is>
      </c>
      <c r="B106" s="52" t="inlineStr">
        <is>
          <t>Exercise</t>
        </is>
      </c>
      <c r="C106" s="52" t="inlineStr">
        <is>
          <t>Type</t>
        </is>
      </c>
      <c r="D106" s="52" t="inlineStr">
        <is>
          <t>Sets</t>
        </is>
      </c>
      <c r="E106" s="52" t="inlineStr">
        <is>
          <t>Reps</t>
        </is>
      </c>
      <c r="F106" s="52" t="inlineStr">
        <is>
          <t>% 1RM</t>
        </is>
      </c>
      <c r="G106" s="52" t="inlineStr">
        <is>
          <t>Prescribed (lbs)</t>
        </is>
      </c>
      <c r="H106" s="52" t="inlineStr">
        <is>
          <t>RPE</t>
        </is>
      </c>
      <c r="I106" s="52" t="inlineStr">
        <is>
          <t>Technique Notes</t>
        </is>
      </c>
      <c r="J106" s="52" t="inlineStr">
        <is>
          <t>Actual Wt</t>
        </is>
      </c>
      <c r="K106" s="52" t="inlineStr">
        <is>
          <t>Reps/Notes</t>
        </is>
      </c>
      <c r="L106" s="52" t="inlineStr">
        <is>
          <t>Done</t>
        </is>
      </c>
    </row>
    <row r="107" ht="22" customHeight="1">
      <c r="A107" s="32" t="n">
        <v>1</v>
      </c>
      <c r="B107" s="53" t="inlineStr">
        <is>
          <t>Bench</t>
        </is>
      </c>
      <c r="C107" s="34" t="inlineStr">
        <is>
          <t>Main</t>
        </is>
      </c>
      <c r="D107" s="28" t="n">
        <v>7</v>
      </c>
      <c r="E107" s="28" t="inlineStr">
        <is>
          <t>4</t>
        </is>
      </c>
      <c r="F107" s="28" t="inlineStr">
        <is>
          <t>76%</t>
        </is>
      </c>
      <c r="G107" s="35">
        <f>ROUND('Setup &amp; Dashboard'!$C$8*0.76/5, 0)*5</f>
        <v/>
      </c>
      <c r="H107" s="28" t="inlineStr">
        <is>
          <t>@7-8</t>
        </is>
      </c>
      <c r="I107" s="56" t="inlineStr"/>
      <c r="J107" s="55" t="inlineStr"/>
      <c r="K107" s="55" t="inlineStr"/>
      <c r="L107" s="14" t="inlineStr">
        <is>
          <t>[ ]</t>
        </is>
      </c>
    </row>
    <row r="108" ht="22" customHeight="1">
      <c r="A108" s="32" t="n">
        <v>2</v>
      </c>
      <c r="B108" s="57" t="inlineStr">
        <is>
          <t>Close-grip bench</t>
        </is>
      </c>
      <c r="C108" s="32" t="inlineStr">
        <is>
          <t>Acc</t>
        </is>
      </c>
      <c r="D108" s="30" t="n">
        <v>3</v>
      </c>
      <c r="E108" s="30" t="inlineStr">
        <is>
          <t>5</t>
        </is>
      </c>
      <c r="F108" s="30" t="inlineStr"/>
      <c r="G108" s="32" t="inlineStr"/>
      <c r="H108" s="32" t="inlineStr"/>
      <c r="I108" s="56" t="inlineStr"/>
      <c r="J108" s="55" t="inlineStr"/>
      <c r="K108" s="55" t="inlineStr"/>
      <c r="L108" s="14" t="inlineStr">
        <is>
          <t>[ ]</t>
        </is>
      </c>
    </row>
    <row r="109" ht="22" customHeight="1">
      <c r="A109" s="32" t="n">
        <v>3</v>
      </c>
      <c r="B109" s="57" t="inlineStr">
        <is>
          <t>Incline DB press</t>
        </is>
      </c>
      <c r="C109" s="32" t="inlineStr">
        <is>
          <t>Acc</t>
        </is>
      </c>
      <c r="D109" s="30" t="n">
        <v>3</v>
      </c>
      <c r="E109" s="30" t="inlineStr">
        <is>
          <t>10-12</t>
        </is>
      </c>
      <c r="F109" s="30" t="inlineStr"/>
      <c r="G109" s="32" t="inlineStr"/>
      <c r="H109" s="32" t="inlineStr"/>
      <c r="I109" s="56" t="inlineStr"/>
      <c r="J109" s="55" t="inlineStr"/>
      <c r="K109" s="55" t="inlineStr"/>
      <c r="L109" s="14" t="inlineStr">
        <is>
          <t>[ ]</t>
        </is>
      </c>
    </row>
    <row r="110" ht="22" customHeight="1">
      <c r="A110" s="32" t="n">
        <v>4</v>
      </c>
      <c r="B110" s="57" t="inlineStr">
        <is>
          <t>Triceps pressdown</t>
        </is>
      </c>
      <c r="C110" s="32" t="inlineStr">
        <is>
          <t>Acc</t>
        </is>
      </c>
      <c r="D110" s="30" t="n">
        <v>3</v>
      </c>
      <c r="E110" s="30" t="inlineStr">
        <is>
          <t>12</t>
        </is>
      </c>
      <c r="F110" s="30" t="inlineStr"/>
      <c r="G110" s="32" t="inlineStr"/>
      <c r="H110" s="32" t="inlineStr"/>
      <c r="I110" s="56" t="inlineStr"/>
      <c r="J110" s="55" t="inlineStr"/>
      <c r="K110" s="55" t="inlineStr"/>
      <c r="L110" s="14" t="inlineStr">
        <is>
          <t>[ ]</t>
        </is>
      </c>
    </row>
    <row r="111" ht="22" customHeight="1">
      <c r="A111" s="32" t="n">
        <v>5</v>
      </c>
      <c r="B111" s="57" t="inlineStr">
        <is>
          <t>Face pull</t>
        </is>
      </c>
      <c r="C111" s="32" t="inlineStr">
        <is>
          <t>Acc</t>
        </is>
      </c>
      <c r="D111" s="30" t="n">
        <v>3</v>
      </c>
      <c r="E111" s="30" t="inlineStr">
        <is>
          <t>15</t>
        </is>
      </c>
      <c r="F111" s="30" t="inlineStr"/>
      <c r="G111" s="32" t="inlineStr"/>
      <c r="H111" s="32" t="inlineStr"/>
      <c r="I111" s="56" t="inlineStr"/>
      <c r="J111" s="55" t="inlineStr"/>
      <c r="K111" s="55" t="inlineStr"/>
      <c r="L111" s="14" t="inlineStr">
        <is>
          <t>[ ]</t>
        </is>
      </c>
    </row>
    <row r="112"/>
    <row r="113" ht="22" customHeight="1">
      <c r="A113" s="50" t="inlineStr">
        <is>
          <t>Day 3 : Thursday — Deadlift</t>
        </is>
      </c>
    </row>
    <row r="114" ht="36" customHeight="1">
      <c r="A114" s="51" t="inlineStr">
        <is>
          <t>💡 Coaching Rationale: Deadlift gets a 4th set for the first time (4x3 at 76%), placed mid-block once your body has had two weeks to adapt. The 1.5-rep deadlift is now base + 10 lb.</t>
        </is>
      </c>
    </row>
    <row r="115" ht="22" customHeight="1">
      <c r="A115" s="52" t="inlineStr">
        <is>
          <t>#</t>
        </is>
      </c>
      <c r="B115" s="52" t="inlineStr">
        <is>
          <t>Exercise</t>
        </is>
      </c>
      <c r="C115" s="52" t="inlineStr">
        <is>
          <t>Type</t>
        </is>
      </c>
      <c r="D115" s="52" t="inlineStr">
        <is>
          <t>Sets</t>
        </is>
      </c>
      <c r="E115" s="52" t="inlineStr">
        <is>
          <t>Reps</t>
        </is>
      </c>
      <c r="F115" s="52" t="inlineStr">
        <is>
          <t>% 1RM</t>
        </is>
      </c>
      <c r="G115" s="52" t="inlineStr">
        <is>
          <t>Prescribed (lbs)</t>
        </is>
      </c>
      <c r="H115" s="52" t="inlineStr">
        <is>
          <t>RPE</t>
        </is>
      </c>
      <c r="I115" s="52" t="inlineStr">
        <is>
          <t>Technique Notes</t>
        </is>
      </c>
      <c r="J115" s="52" t="inlineStr">
        <is>
          <t>Actual Wt</t>
        </is>
      </c>
      <c r="K115" s="52" t="inlineStr">
        <is>
          <t>Reps/Notes</t>
        </is>
      </c>
      <c r="L115" s="52" t="inlineStr">
        <is>
          <t>Done</t>
        </is>
      </c>
    </row>
    <row r="116" ht="22" customHeight="1">
      <c r="A116" s="32" t="n">
        <v>1</v>
      </c>
      <c r="B116" s="53" t="inlineStr">
        <is>
          <t>Deadlift</t>
        </is>
      </c>
      <c r="C116" s="34" t="inlineStr">
        <is>
          <t>Main</t>
        </is>
      </c>
      <c r="D116" s="28" t="n">
        <v>4</v>
      </c>
      <c r="E116" s="28" t="inlineStr">
        <is>
          <t>3</t>
        </is>
      </c>
      <c r="F116" s="28" t="inlineStr">
        <is>
          <t>76%</t>
        </is>
      </c>
      <c r="G116" s="35">
        <f>ROUND('Setup &amp; Dashboard'!$C$9*0.76/5, 0)*5</f>
        <v/>
      </c>
      <c r="H116" s="28" t="inlineStr">
        <is>
          <t>@7-8</t>
        </is>
      </c>
      <c r="I116" s="56" t="inlineStr"/>
      <c r="J116" s="55" t="inlineStr"/>
      <c r="K116" s="55" t="inlineStr"/>
      <c r="L116" s="14" t="inlineStr">
        <is>
          <t>[ ]</t>
        </is>
      </c>
    </row>
    <row r="117" ht="22" customHeight="1">
      <c r="A117" s="32" t="n">
        <v>2</v>
      </c>
      <c r="B117" s="53" t="inlineStr">
        <is>
          <t>1.5-rep deadlift (knee height)</t>
        </is>
      </c>
      <c r="C117" s="34" t="inlineStr">
        <is>
          <t>Main</t>
        </is>
      </c>
      <c r="D117" s="28" t="n">
        <v>3</v>
      </c>
      <c r="E117" s="28" t="inlineStr">
        <is>
          <t>3</t>
        </is>
      </c>
      <c r="F117" s="28" t="inlineStr">
        <is>
          <t xml:space="preserve">60% +10# </t>
        </is>
      </c>
      <c r="G117" s="35">
        <f>ROUND('Setup &amp; Dashboard'!$C$9*0.6/5, 0)*5+10</f>
        <v/>
      </c>
      <c r="H117" s="32" t="inlineStr"/>
      <c r="I117" s="54" t="inlineStr">
        <is>
          <t>Reset every rep; lower to just below knee, return to lockout, then lower fully. W1 60% DL max; add +5 lb/week only if clean and ≤RPE 7. Deload: 2x3 @55% max.</t>
        </is>
      </c>
      <c r="J117" s="55" t="inlineStr"/>
      <c r="K117" s="55" t="inlineStr"/>
      <c r="L117" s="14" t="inlineStr">
        <is>
          <t>[ ]</t>
        </is>
      </c>
    </row>
    <row r="118" ht="22" customHeight="1">
      <c r="A118" s="32" t="n">
        <v>3</v>
      </c>
      <c r="B118" s="57" t="inlineStr">
        <is>
          <t>Reverse hyper</t>
        </is>
      </c>
      <c r="C118" s="32" t="inlineStr">
        <is>
          <t>Acc</t>
        </is>
      </c>
      <c r="D118" s="30" t="n">
        <v>2</v>
      </c>
      <c r="E118" s="30" t="inlineStr">
        <is>
          <t>15</t>
        </is>
      </c>
      <c r="F118" s="30" t="inlineStr"/>
      <c r="G118" s="32" t="inlineStr"/>
      <c r="H118" s="32" t="inlineStr"/>
      <c r="I118" s="56" t="inlineStr"/>
      <c r="J118" s="55" t="inlineStr"/>
      <c r="K118" s="55" t="inlineStr"/>
      <c r="L118" s="14" t="inlineStr">
        <is>
          <t>[ ]</t>
        </is>
      </c>
    </row>
    <row r="119" ht="22" customHeight="1">
      <c r="A119" s="32" t="n">
        <v>4</v>
      </c>
      <c r="B119" s="57" t="inlineStr">
        <is>
          <t>Jefferson curl</t>
        </is>
      </c>
      <c r="C119" s="32" t="inlineStr">
        <is>
          <t>Acc</t>
        </is>
      </c>
      <c r="D119" s="30" t="n">
        <v>2</v>
      </c>
      <c r="E119" s="30" t="inlineStr">
        <is>
          <t>8</t>
        </is>
      </c>
      <c r="F119" s="30" t="inlineStr"/>
      <c r="G119" s="32" t="inlineStr"/>
      <c r="H119" s="32" t="inlineStr"/>
      <c r="I119" s="56" t="inlineStr"/>
      <c r="J119" s="55" t="inlineStr"/>
      <c r="K119" s="55" t="inlineStr"/>
      <c r="L119" s="14" t="inlineStr">
        <is>
          <t>[ ]</t>
        </is>
      </c>
    </row>
    <row r="120"/>
    <row r="121" ht="22" customHeight="1">
      <c r="A121" s="50" t="inlineStr">
        <is>
          <t>Day 4 : Friday — Bench variant / upper body</t>
        </is>
      </c>
    </row>
    <row r="122" ht="54" customHeight="1">
      <c r="A122" s="51" t="inlineStr">
        <is>
          <t>💡 Coaching Rationale: Spoto press (pause an inch or two above the chest) targets the mid-range sticking point where most missed bench reps fail. It's introduced light (60%) so you get comfortable with it before it matters.</t>
        </is>
      </c>
    </row>
    <row r="123" ht="22" customHeight="1">
      <c r="A123" s="52" t="inlineStr">
        <is>
          <t>#</t>
        </is>
      </c>
      <c r="B123" s="52" t="inlineStr">
        <is>
          <t>Exercise</t>
        </is>
      </c>
      <c r="C123" s="52" t="inlineStr">
        <is>
          <t>Type</t>
        </is>
      </c>
      <c r="D123" s="52" t="inlineStr">
        <is>
          <t>Sets</t>
        </is>
      </c>
      <c r="E123" s="52" t="inlineStr">
        <is>
          <t>Reps</t>
        </is>
      </c>
      <c r="F123" s="52" t="inlineStr">
        <is>
          <t>% 1RM</t>
        </is>
      </c>
      <c r="G123" s="52" t="inlineStr">
        <is>
          <t>Prescribed (lbs)</t>
        </is>
      </c>
      <c r="H123" s="52" t="inlineStr">
        <is>
          <t>RPE</t>
        </is>
      </c>
      <c r="I123" s="52" t="inlineStr">
        <is>
          <t>Technique Notes</t>
        </is>
      </c>
      <c r="J123" s="52" t="inlineStr">
        <is>
          <t>Actual Wt</t>
        </is>
      </c>
      <c r="K123" s="52" t="inlineStr">
        <is>
          <t>Reps/Notes</t>
        </is>
      </c>
      <c r="L123" s="52" t="inlineStr">
        <is>
          <t>Done</t>
        </is>
      </c>
    </row>
    <row r="124" ht="22" customHeight="1">
      <c r="A124" s="32" t="n">
        <v>1</v>
      </c>
      <c r="B124" s="53" t="inlineStr">
        <is>
          <t>Spoto press</t>
        </is>
      </c>
      <c r="C124" s="34" t="inlineStr">
        <is>
          <t>Main</t>
        </is>
      </c>
      <c r="D124" s="28" t="n">
        <v>4</v>
      </c>
      <c r="E124" s="28" t="inlineStr">
        <is>
          <t>4</t>
        </is>
      </c>
      <c r="F124" s="28" t="inlineStr">
        <is>
          <t>60%</t>
        </is>
      </c>
      <c r="G124" s="35">
        <f>ROUND('Setup &amp; Dashboard'!$C$8*0.6/5, 0)*5</f>
        <v/>
      </c>
      <c r="H124" s="28" t="inlineStr">
        <is>
          <t>@6-7</t>
        </is>
      </c>
      <c r="I124" s="56" t="inlineStr"/>
      <c r="J124" s="55" t="inlineStr"/>
      <c r="K124" s="55" t="inlineStr"/>
      <c r="L124" s="14" t="inlineStr">
        <is>
          <t>[ ]</t>
        </is>
      </c>
    </row>
    <row r="125" ht="22" customHeight="1">
      <c r="A125" s="32" t="n">
        <v>2</v>
      </c>
      <c r="B125" s="57" t="inlineStr">
        <is>
          <t>Lat pulldown</t>
        </is>
      </c>
      <c r="C125" s="32" t="inlineStr">
        <is>
          <t>Acc</t>
        </is>
      </c>
      <c r="D125" s="30" t="n">
        <v>3</v>
      </c>
      <c r="E125" s="30" t="inlineStr">
        <is>
          <t>12</t>
        </is>
      </c>
      <c r="F125" s="30" t="inlineStr"/>
      <c r="G125" s="32" t="inlineStr"/>
      <c r="H125" s="32" t="inlineStr"/>
      <c r="I125" s="56" t="inlineStr"/>
      <c r="J125" s="55" t="inlineStr"/>
      <c r="K125" s="55" t="inlineStr"/>
      <c r="L125" s="14" t="inlineStr">
        <is>
          <t>[ ]</t>
        </is>
      </c>
    </row>
    <row r="126" ht="22" customHeight="1">
      <c r="A126" s="32" t="n">
        <v>3</v>
      </c>
      <c r="B126" s="57" t="inlineStr">
        <is>
          <t>Lateral raise</t>
        </is>
      </c>
      <c r="C126" s="32" t="inlineStr">
        <is>
          <t>Acc</t>
        </is>
      </c>
      <c r="D126" s="30" t="n">
        <v>3</v>
      </c>
      <c r="E126" s="30" t="inlineStr">
        <is>
          <t>15</t>
        </is>
      </c>
      <c r="F126" s="30" t="inlineStr"/>
      <c r="G126" s="32" t="inlineStr"/>
      <c r="H126" s="32" t="inlineStr"/>
      <c r="I126" s="56" t="inlineStr"/>
      <c r="J126" s="55" t="inlineStr"/>
      <c r="K126" s="55" t="inlineStr"/>
      <c r="L126" s="14" t="inlineStr">
        <is>
          <t>[ ]</t>
        </is>
      </c>
    </row>
    <row r="127" ht="22" customHeight="1">
      <c r="A127" s="32" t="n">
        <v>4</v>
      </c>
      <c r="B127" s="57" t="inlineStr">
        <is>
          <t>Curl</t>
        </is>
      </c>
      <c r="C127" s="32" t="inlineStr">
        <is>
          <t>Acc</t>
        </is>
      </c>
      <c r="D127" s="30" t="n">
        <v>3</v>
      </c>
      <c r="E127" s="30" t="inlineStr">
        <is>
          <t>12</t>
        </is>
      </c>
      <c r="F127" s="30" t="inlineStr"/>
      <c r="G127" s="32" t="inlineStr"/>
      <c r="H127" s="32" t="inlineStr"/>
      <c r="I127" s="56" t="inlineStr"/>
      <c r="J127" s="55" t="inlineStr"/>
      <c r="K127" s="55" t="inlineStr"/>
      <c r="L127" s="14" t="inlineStr">
        <is>
          <t>[ ]</t>
        </is>
      </c>
    </row>
    <row r="128" ht="22" customHeight="1">
      <c r="A128" s="32" t="n">
        <v>5</v>
      </c>
      <c r="B128" s="57" t="inlineStr">
        <is>
          <t>Pallof press</t>
        </is>
      </c>
      <c r="C128" s="32" t="inlineStr">
        <is>
          <t>Acc</t>
        </is>
      </c>
      <c r="D128" s="30" t="n">
        <v>3</v>
      </c>
      <c r="E128" s="30" t="inlineStr">
        <is>
          <t>10/side</t>
        </is>
      </c>
      <c r="F128" s="30" t="inlineStr"/>
      <c r="G128" s="32" t="inlineStr"/>
      <c r="H128" s="32" t="inlineStr"/>
      <c r="I128" s="56" t="inlineStr"/>
      <c r="J128" s="55" t="inlineStr"/>
      <c r="K128" s="55" t="inlineStr"/>
      <c r="L128" s="14" t="inlineStr">
        <is>
          <t>[ ]</t>
        </is>
      </c>
    </row>
    <row r="129"/>
    <row r="130" ht="22" customHeight="1">
      <c r="A130" s="50" t="inlineStr">
        <is>
          <t>Day 5 : Saturday — Squat variant + Bent-over row</t>
        </is>
      </c>
    </row>
    <row r="131" ht="36" customHeight="1">
      <c r="A131" s="51" t="inlineStr">
        <is>
          <t>💡 Coaching Rationale: Paused squat moves to 3x4 at base + 10 lb. The bent-over row keeps progressing only by the clean-and-RPE-8-or-lower rule.</t>
        </is>
      </c>
    </row>
    <row r="132" ht="22" customHeight="1">
      <c r="A132" s="52" t="inlineStr">
        <is>
          <t>#</t>
        </is>
      </c>
      <c r="B132" s="52" t="inlineStr">
        <is>
          <t>Exercise</t>
        </is>
      </c>
      <c r="C132" s="52" t="inlineStr">
        <is>
          <t>Type</t>
        </is>
      </c>
      <c r="D132" s="52" t="inlineStr">
        <is>
          <t>Sets</t>
        </is>
      </c>
      <c r="E132" s="52" t="inlineStr">
        <is>
          <t>Reps</t>
        </is>
      </c>
      <c r="F132" s="52" t="inlineStr">
        <is>
          <t>% 1RM</t>
        </is>
      </c>
      <c r="G132" s="52" t="inlineStr">
        <is>
          <t>Prescribed (lbs)</t>
        </is>
      </c>
      <c r="H132" s="52" t="inlineStr">
        <is>
          <t>RPE</t>
        </is>
      </c>
      <c r="I132" s="52" t="inlineStr">
        <is>
          <t>Technique Notes</t>
        </is>
      </c>
      <c r="J132" s="52" t="inlineStr">
        <is>
          <t>Actual Wt</t>
        </is>
      </c>
      <c r="K132" s="52" t="inlineStr">
        <is>
          <t>Reps/Notes</t>
        </is>
      </c>
      <c r="L132" s="52" t="inlineStr">
        <is>
          <t>Done</t>
        </is>
      </c>
    </row>
    <row r="133" ht="22" customHeight="1">
      <c r="A133" s="32" t="n">
        <v>1</v>
      </c>
      <c r="B133" s="53" t="inlineStr">
        <is>
          <t>Paused squat</t>
        </is>
      </c>
      <c r="C133" s="34" t="inlineStr">
        <is>
          <t>Main</t>
        </is>
      </c>
      <c r="D133" s="28" t="n">
        <v>3</v>
      </c>
      <c r="E133" s="28" t="inlineStr">
        <is>
          <t>4</t>
        </is>
      </c>
      <c r="F133" s="28" t="inlineStr">
        <is>
          <t xml:space="preserve">70% +10# </t>
        </is>
      </c>
      <c r="G133" s="35">
        <f>ROUND('Setup &amp; Dashboard'!$C$7*0.7/5, 0)*5+10</f>
        <v/>
      </c>
      <c r="H133" s="28" t="inlineStr">
        <is>
          <t>@≤8</t>
        </is>
      </c>
      <c r="I133" s="54" t="inlineStr">
        <is>
          <t>Clean reps; no grinding</t>
        </is>
      </c>
      <c r="J133" s="55" t="inlineStr"/>
      <c r="K133" s="55" t="inlineStr"/>
      <c r="L133" s="14" t="inlineStr">
        <is>
          <t>[ ]</t>
        </is>
      </c>
    </row>
    <row r="134" ht="22" customHeight="1">
      <c r="A134" s="32" t="n">
        <v>2</v>
      </c>
      <c r="B134" s="57" t="inlineStr">
        <is>
          <t>Bent-over row</t>
        </is>
      </c>
      <c r="C134" s="32" t="inlineStr">
        <is>
          <t>Acc</t>
        </is>
      </c>
      <c r="D134" s="30" t="n">
        <v>4</v>
      </c>
      <c r="E134" s="30" t="inlineStr">
        <is>
          <t>4-6</t>
        </is>
      </c>
      <c r="F134" s="30" t="inlineStr">
        <is>
          <t>Row +5#</t>
        </is>
      </c>
      <c r="G134" s="35">
        <f>'Setup &amp; Dashboard'!$C$10+(3-1)*5</f>
        <v/>
      </c>
      <c r="H134" s="32" t="inlineStr"/>
      <c r="I134" s="54" t="inlineStr">
        <is>
          <t>4 strict sets. Add 5 lb next exposure only when every set is clean and ≤RPE 8; deload load/reps, no failure.</t>
        </is>
      </c>
      <c r="J134" s="55" t="inlineStr"/>
      <c r="K134" s="55" t="inlineStr"/>
      <c r="L134" s="14" t="inlineStr">
        <is>
          <t>[ ]</t>
        </is>
      </c>
    </row>
    <row r="135" ht="22" customHeight="1">
      <c r="A135" s="32" t="n">
        <v>3</v>
      </c>
      <c r="B135" s="57" t="inlineStr">
        <is>
          <t>Reverse hyper</t>
        </is>
      </c>
      <c r="C135" s="32" t="inlineStr">
        <is>
          <t>Acc</t>
        </is>
      </c>
      <c r="D135" s="30" t="n">
        <v>2</v>
      </c>
      <c r="E135" s="30" t="inlineStr">
        <is>
          <t>12</t>
        </is>
      </c>
      <c r="F135" s="30" t="inlineStr"/>
      <c r="G135" s="32" t="inlineStr"/>
      <c r="H135" s="32" t="inlineStr"/>
      <c r="I135" s="56" t="inlineStr"/>
      <c r="J135" s="55" t="inlineStr"/>
      <c r="K135" s="55" t="inlineStr"/>
      <c r="L135" s="14" t="inlineStr">
        <is>
          <t>[ ]</t>
        </is>
      </c>
    </row>
    <row r="136" ht="22" customHeight="1">
      <c r="A136" s="32" t="n">
        <v>4</v>
      </c>
      <c r="B136" s="57" t="inlineStr">
        <is>
          <t>GHR or Nordic curl</t>
        </is>
      </c>
      <c r="C136" s="32" t="inlineStr">
        <is>
          <t>Acc</t>
        </is>
      </c>
      <c r="D136" s="30" t="n">
        <v>3</v>
      </c>
      <c r="E136" s="30" t="inlineStr">
        <is>
          <t>8</t>
        </is>
      </c>
      <c r="F136" s="30" t="inlineStr"/>
      <c r="G136" s="32" t="inlineStr"/>
      <c r="H136" s="32" t="inlineStr"/>
      <c r="I136" s="56" t="inlineStr"/>
      <c r="J136" s="55" t="inlineStr"/>
      <c r="K136" s="55" t="inlineStr"/>
      <c r="L136" s="14" t="inlineStr">
        <is>
          <t>[ ]</t>
        </is>
      </c>
    </row>
    <row r="137"/>
    <row r="138" ht="26" customHeight="1">
      <c r="A138" s="58" t="inlineStr">
        <is>
          <t>WEEK 4 — ACCUMULATION PEAK</t>
        </is>
      </c>
    </row>
    <row r="139" ht="22" customHeight="1">
      <c r="A139" s="50" t="inlineStr">
        <is>
          <t>Day 1 : Monday — Squat</t>
        </is>
      </c>
    </row>
    <row r="140" ht="54" customHeight="1">
      <c r="A140" s="51" t="inlineStr">
        <is>
          <t>💡 Coaching Rationale: This is the hardest squat session of the accumulation block: a top single at 87% followed by 6x3 at 80%, RPE 8. Next week is a deload specifically because this week is designed to leave you fatigued.</t>
        </is>
      </c>
    </row>
    <row r="141" ht="22" customHeight="1">
      <c r="A141" s="52" t="inlineStr">
        <is>
          <t>#</t>
        </is>
      </c>
      <c r="B141" s="52" t="inlineStr">
        <is>
          <t>Exercise</t>
        </is>
      </c>
      <c r="C141" s="52" t="inlineStr">
        <is>
          <t>Type</t>
        </is>
      </c>
      <c r="D141" s="52" t="inlineStr">
        <is>
          <t>Sets</t>
        </is>
      </c>
      <c r="E141" s="52" t="inlineStr">
        <is>
          <t>Reps</t>
        </is>
      </c>
      <c r="F141" s="52" t="inlineStr">
        <is>
          <t>% 1RM</t>
        </is>
      </c>
      <c r="G141" s="52" t="inlineStr">
        <is>
          <t>Prescribed (lbs)</t>
        </is>
      </c>
      <c r="H141" s="52" t="inlineStr">
        <is>
          <t>RPE</t>
        </is>
      </c>
      <c r="I141" s="52" t="inlineStr">
        <is>
          <t>Technique Notes</t>
        </is>
      </c>
      <c r="J141" s="52" t="inlineStr">
        <is>
          <t>Actual Wt</t>
        </is>
      </c>
      <c r="K141" s="52" t="inlineStr">
        <is>
          <t>Reps/Notes</t>
        </is>
      </c>
      <c r="L141" s="52" t="inlineStr">
        <is>
          <t>Done</t>
        </is>
      </c>
    </row>
    <row r="142" ht="22" customHeight="1">
      <c r="A142" s="32" t="n">
        <v>1</v>
      </c>
      <c r="B142" s="53" t="inlineStr">
        <is>
          <t>Squat — top single</t>
        </is>
      </c>
      <c r="C142" s="34" t="inlineStr">
        <is>
          <t>Main</t>
        </is>
      </c>
      <c r="D142" s="28" t="n">
        <v>1</v>
      </c>
      <c r="E142" s="28" t="inlineStr">
        <is>
          <t>1</t>
        </is>
      </c>
      <c r="F142" s="28" t="inlineStr">
        <is>
          <t>87%</t>
        </is>
      </c>
      <c r="G142" s="35">
        <f>ROUND('Setup &amp; Dashboard'!$C$7*0.87/5, 0)*5</f>
        <v/>
      </c>
      <c r="H142" s="28" t="inlineStr">
        <is>
          <t>@7.5-8</t>
        </is>
      </c>
      <c r="I142" s="54" t="inlineStr">
        <is>
          <t>Smooth single, no grind</t>
        </is>
      </c>
      <c r="J142" s="55" t="inlineStr"/>
      <c r="K142" s="55" t="inlineStr"/>
      <c r="L142" s="14" t="inlineStr">
        <is>
          <t>[ ]</t>
        </is>
      </c>
    </row>
    <row r="143" ht="22" customHeight="1">
      <c r="A143" s="32" t="n">
        <v>2</v>
      </c>
      <c r="B143" s="53" t="inlineStr">
        <is>
          <t>Squat — back-off</t>
        </is>
      </c>
      <c r="C143" s="34" t="inlineStr">
        <is>
          <t>Main</t>
        </is>
      </c>
      <c r="D143" s="28" t="n">
        <v>6</v>
      </c>
      <c r="E143" s="28" t="inlineStr">
        <is>
          <t>3</t>
        </is>
      </c>
      <c r="F143" s="28" t="inlineStr">
        <is>
          <t>80%</t>
        </is>
      </c>
      <c r="G143" s="35">
        <f>ROUND('Setup &amp; Dashboard'!$C$7*0.8/5, 0)*5</f>
        <v/>
      </c>
      <c r="H143" s="28" t="inlineStr">
        <is>
          <t>@8</t>
        </is>
      </c>
      <c r="I143" s="56" t="inlineStr"/>
      <c r="J143" s="55" t="inlineStr"/>
      <c r="K143" s="55" t="inlineStr"/>
      <c r="L143" s="14" t="inlineStr">
        <is>
          <t>[ ]</t>
        </is>
      </c>
    </row>
    <row r="144" ht="22" customHeight="1">
      <c r="A144" s="32" t="n">
        <v>3</v>
      </c>
      <c r="B144" s="57" t="inlineStr">
        <is>
          <t>Bulgarian split squat</t>
        </is>
      </c>
      <c r="C144" s="32" t="inlineStr">
        <is>
          <t>Acc</t>
        </is>
      </c>
      <c r="D144" s="30" t="n">
        <v>2</v>
      </c>
      <c r="E144" s="30" t="inlineStr">
        <is>
          <t>8/leg</t>
        </is>
      </c>
      <c r="F144" s="30" t="inlineStr"/>
      <c r="G144" s="32" t="inlineStr"/>
      <c r="H144" s="32" t="inlineStr"/>
      <c r="I144" s="56" t="inlineStr"/>
      <c r="J144" s="55" t="inlineStr"/>
      <c r="K144" s="55" t="inlineStr"/>
      <c r="L144" s="14" t="inlineStr">
        <is>
          <t>[ ]</t>
        </is>
      </c>
    </row>
    <row r="145" ht="22" customHeight="1">
      <c r="A145" s="32" t="n">
        <v>4</v>
      </c>
      <c r="B145" s="57" t="inlineStr">
        <is>
          <t>Leg curl</t>
        </is>
      </c>
      <c r="C145" s="32" t="inlineStr">
        <is>
          <t>Acc</t>
        </is>
      </c>
      <c r="D145" s="30" t="n">
        <v>3</v>
      </c>
      <c r="E145" s="30" t="inlineStr">
        <is>
          <t>10-12</t>
        </is>
      </c>
      <c r="F145" s="30" t="inlineStr"/>
      <c r="G145" s="32" t="inlineStr"/>
      <c r="H145" s="32" t="inlineStr"/>
      <c r="I145" s="56" t="inlineStr"/>
      <c r="J145" s="55" t="inlineStr"/>
      <c r="K145" s="55" t="inlineStr"/>
      <c r="L145" s="14" t="inlineStr">
        <is>
          <t>[ ]</t>
        </is>
      </c>
    </row>
    <row r="146" ht="22" customHeight="1">
      <c r="A146" s="32" t="n">
        <v>5</v>
      </c>
      <c r="B146" s="57" t="inlineStr">
        <is>
          <t>Copenhagen plank</t>
        </is>
      </c>
      <c r="C146" s="32" t="inlineStr">
        <is>
          <t>Acc</t>
        </is>
      </c>
      <c r="D146" s="30" t="n">
        <v>3</v>
      </c>
      <c r="E146" s="30" t="inlineStr">
        <is>
          <t>30sec/side</t>
        </is>
      </c>
      <c r="F146" s="30" t="inlineStr"/>
      <c r="G146" s="32" t="inlineStr"/>
      <c r="H146" s="32" t="inlineStr"/>
      <c r="I146" s="56" t="inlineStr"/>
      <c r="J146" s="55" t="inlineStr"/>
      <c r="K146" s="55" t="inlineStr"/>
      <c r="L146" s="14" t="inlineStr">
        <is>
          <t>[ ]</t>
        </is>
      </c>
    </row>
    <row r="147"/>
    <row r="148" ht="22" customHeight="1">
      <c r="A148" s="50" t="inlineStr">
        <is>
          <t>Day 2 : Tuesday — Bench</t>
        </is>
      </c>
    </row>
    <row r="149" ht="36" customHeight="1">
      <c r="A149" s="51" t="inlineStr">
        <is>
          <t>💡 Coaching Rationale: Bench volume peaks at 8x3 at 80% of max, RPE 8. That's the most bench sets in the program, and they're timed right before the deload so the fatigue has somewhere to go.</t>
        </is>
      </c>
    </row>
    <row r="150" ht="22" customHeight="1">
      <c r="A150" s="52" t="inlineStr">
        <is>
          <t>#</t>
        </is>
      </c>
      <c r="B150" s="52" t="inlineStr">
        <is>
          <t>Exercise</t>
        </is>
      </c>
      <c r="C150" s="52" t="inlineStr">
        <is>
          <t>Type</t>
        </is>
      </c>
      <c r="D150" s="52" t="inlineStr">
        <is>
          <t>Sets</t>
        </is>
      </c>
      <c r="E150" s="52" t="inlineStr">
        <is>
          <t>Reps</t>
        </is>
      </c>
      <c r="F150" s="52" t="inlineStr">
        <is>
          <t>% 1RM</t>
        </is>
      </c>
      <c r="G150" s="52" t="inlineStr">
        <is>
          <t>Prescribed (lbs)</t>
        </is>
      </c>
      <c r="H150" s="52" t="inlineStr">
        <is>
          <t>RPE</t>
        </is>
      </c>
      <c r="I150" s="52" t="inlineStr">
        <is>
          <t>Technique Notes</t>
        </is>
      </c>
      <c r="J150" s="52" t="inlineStr">
        <is>
          <t>Actual Wt</t>
        </is>
      </c>
      <c r="K150" s="52" t="inlineStr">
        <is>
          <t>Reps/Notes</t>
        </is>
      </c>
      <c r="L150" s="52" t="inlineStr">
        <is>
          <t>Done</t>
        </is>
      </c>
    </row>
    <row r="151" ht="22" customHeight="1">
      <c r="A151" s="32" t="n">
        <v>1</v>
      </c>
      <c r="B151" s="53" t="inlineStr">
        <is>
          <t>Bench</t>
        </is>
      </c>
      <c r="C151" s="34" t="inlineStr">
        <is>
          <t>Main</t>
        </is>
      </c>
      <c r="D151" s="28" t="n">
        <v>8</v>
      </c>
      <c r="E151" s="28" t="inlineStr">
        <is>
          <t>3</t>
        </is>
      </c>
      <c r="F151" s="28" t="inlineStr">
        <is>
          <t>80%</t>
        </is>
      </c>
      <c r="G151" s="35">
        <f>ROUND('Setup &amp; Dashboard'!$C$8*0.8/5, 0)*5</f>
        <v/>
      </c>
      <c r="H151" s="28" t="inlineStr">
        <is>
          <t>@8</t>
        </is>
      </c>
      <c r="I151" s="56" t="inlineStr"/>
      <c r="J151" s="55" t="inlineStr"/>
      <c r="K151" s="55" t="inlineStr"/>
      <c r="L151" s="14" t="inlineStr">
        <is>
          <t>[ ]</t>
        </is>
      </c>
    </row>
    <row r="152" ht="22" customHeight="1">
      <c r="A152" s="32" t="n">
        <v>2</v>
      </c>
      <c r="B152" s="57" t="inlineStr">
        <is>
          <t>Close-grip bench</t>
        </is>
      </c>
      <c r="C152" s="32" t="inlineStr">
        <is>
          <t>Acc</t>
        </is>
      </c>
      <c r="D152" s="30" t="n">
        <v>3</v>
      </c>
      <c r="E152" s="30" t="inlineStr">
        <is>
          <t>5</t>
        </is>
      </c>
      <c r="F152" s="30" t="inlineStr"/>
      <c r="G152" s="32" t="inlineStr"/>
      <c r="H152" s="32" t="inlineStr"/>
      <c r="I152" s="56" t="inlineStr"/>
      <c r="J152" s="55" t="inlineStr"/>
      <c r="K152" s="55" t="inlineStr"/>
      <c r="L152" s="14" t="inlineStr">
        <is>
          <t>[ ]</t>
        </is>
      </c>
    </row>
    <row r="153" ht="22" customHeight="1">
      <c r="A153" s="32" t="n">
        <v>3</v>
      </c>
      <c r="B153" s="57" t="inlineStr">
        <is>
          <t>Incline DB press</t>
        </is>
      </c>
      <c r="C153" s="32" t="inlineStr">
        <is>
          <t>Acc</t>
        </is>
      </c>
      <c r="D153" s="30" t="n">
        <v>3</v>
      </c>
      <c r="E153" s="30" t="inlineStr">
        <is>
          <t>10</t>
        </is>
      </c>
      <c r="F153" s="30" t="inlineStr"/>
      <c r="G153" s="32" t="inlineStr"/>
      <c r="H153" s="32" t="inlineStr"/>
      <c r="I153" s="56" t="inlineStr"/>
      <c r="J153" s="55" t="inlineStr"/>
      <c r="K153" s="55" t="inlineStr"/>
      <c r="L153" s="14" t="inlineStr">
        <is>
          <t>[ ]</t>
        </is>
      </c>
    </row>
    <row r="154" ht="22" customHeight="1">
      <c r="A154" s="32" t="n">
        <v>4</v>
      </c>
      <c r="B154" s="57" t="inlineStr">
        <is>
          <t>Triceps pressdown</t>
        </is>
      </c>
      <c r="C154" s="32" t="inlineStr">
        <is>
          <t>Acc</t>
        </is>
      </c>
      <c r="D154" s="30" t="n">
        <v>3</v>
      </c>
      <c r="E154" s="30" t="inlineStr">
        <is>
          <t>12</t>
        </is>
      </c>
      <c r="F154" s="30" t="inlineStr"/>
      <c r="G154" s="32" t="inlineStr"/>
      <c r="H154" s="32" t="inlineStr"/>
      <c r="I154" s="56" t="inlineStr"/>
      <c r="J154" s="55" t="inlineStr"/>
      <c r="K154" s="55" t="inlineStr"/>
      <c r="L154" s="14" t="inlineStr">
        <is>
          <t>[ ]</t>
        </is>
      </c>
    </row>
    <row r="155" ht="22" customHeight="1">
      <c r="A155" s="32" t="n">
        <v>5</v>
      </c>
      <c r="B155" s="57" t="inlineStr">
        <is>
          <t>Face pull</t>
        </is>
      </c>
      <c r="C155" s="32" t="inlineStr">
        <is>
          <t>Acc</t>
        </is>
      </c>
      <c r="D155" s="30" t="n">
        <v>3</v>
      </c>
      <c r="E155" s="30" t="inlineStr">
        <is>
          <t>15</t>
        </is>
      </c>
      <c r="F155" s="30" t="inlineStr"/>
      <c r="G155" s="32" t="inlineStr"/>
      <c r="H155" s="32" t="inlineStr"/>
      <c r="I155" s="56" t="inlineStr"/>
      <c r="J155" s="55" t="inlineStr"/>
      <c r="K155" s="55" t="inlineStr"/>
      <c r="L155" s="14" t="inlineStr">
        <is>
          <t>[ ]</t>
        </is>
      </c>
    </row>
    <row r="156"/>
    <row r="157" ht="22" customHeight="1">
      <c r="A157" s="50" t="inlineStr">
        <is>
          <t>Day 3 : Thursday — Deadlift</t>
        </is>
      </c>
    </row>
    <row r="158" ht="54" customHeight="1">
      <c r="A158" s="51" t="inlineStr">
        <is>
          <t>💡 Coaching Rationale: 4x3 at 80% is the heaviest deadlift session of the block. The 1.5-rep deadlift reaches base + 15 lb. If the main sets beat you up, hold the 1.5-rep weight instead of adding 5 lb. The progression rule always comes before the number.</t>
        </is>
      </c>
    </row>
    <row r="159" ht="22" customHeight="1">
      <c r="A159" s="52" t="inlineStr">
        <is>
          <t>#</t>
        </is>
      </c>
      <c r="B159" s="52" t="inlineStr">
        <is>
          <t>Exercise</t>
        </is>
      </c>
      <c r="C159" s="52" t="inlineStr">
        <is>
          <t>Type</t>
        </is>
      </c>
      <c r="D159" s="52" t="inlineStr">
        <is>
          <t>Sets</t>
        </is>
      </c>
      <c r="E159" s="52" t="inlineStr">
        <is>
          <t>Reps</t>
        </is>
      </c>
      <c r="F159" s="52" t="inlineStr">
        <is>
          <t>% 1RM</t>
        </is>
      </c>
      <c r="G159" s="52" t="inlineStr">
        <is>
          <t>Prescribed (lbs)</t>
        </is>
      </c>
      <c r="H159" s="52" t="inlineStr">
        <is>
          <t>RPE</t>
        </is>
      </c>
      <c r="I159" s="52" t="inlineStr">
        <is>
          <t>Technique Notes</t>
        </is>
      </c>
      <c r="J159" s="52" t="inlineStr">
        <is>
          <t>Actual Wt</t>
        </is>
      </c>
      <c r="K159" s="52" t="inlineStr">
        <is>
          <t>Reps/Notes</t>
        </is>
      </c>
      <c r="L159" s="52" t="inlineStr">
        <is>
          <t>Done</t>
        </is>
      </c>
    </row>
    <row r="160" ht="22" customHeight="1">
      <c r="A160" s="32" t="n">
        <v>1</v>
      </c>
      <c r="B160" s="53" t="inlineStr">
        <is>
          <t>Deadlift</t>
        </is>
      </c>
      <c r="C160" s="34" t="inlineStr">
        <is>
          <t>Main</t>
        </is>
      </c>
      <c r="D160" s="28" t="n">
        <v>4</v>
      </c>
      <c r="E160" s="28" t="inlineStr">
        <is>
          <t>3</t>
        </is>
      </c>
      <c r="F160" s="28" t="inlineStr">
        <is>
          <t>80%</t>
        </is>
      </c>
      <c r="G160" s="35">
        <f>ROUND('Setup &amp; Dashboard'!$C$9*0.8/5, 0)*5</f>
        <v/>
      </c>
      <c r="H160" s="28" t="inlineStr">
        <is>
          <t>@8</t>
        </is>
      </c>
      <c r="I160" s="56" t="inlineStr"/>
      <c r="J160" s="55" t="inlineStr"/>
      <c r="K160" s="55" t="inlineStr"/>
      <c r="L160" s="14" t="inlineStr">
        <is>
          <t>[ ]</t>
        </is>
      </c>
    </row>
    <row r="161" ht="22" customHeight="1">
      <c r="A161" s="32" t="n">
        <v>2</v>
      </c>
      <c r="B161" s="53" t="inlineStr">
        <is>
          <t>1.5-rep deadlift (knee height)</t>
        </is>
      </c>
      <c r="C161" s="34" t="inlineStr">
        <is>
          <t>Main</t>
        </is>
      </c>
      <c r="D161" s="28" t="n">
        <v>3</v>
      </c>
      <c r="E161" s="28" t="inlineStr">
        <is>
          <t>3</t>
        </is>
      </c>
      <c r="F161" s="28" t="inlineStr">
        <is>
          <t xml:space="preserve">60% +15# </t>
        </is>
      </c>
      <c r="G161" s="35">
        <f>ROUND('Setup &amp; Dashboard'!$C$9*0.6/5, 0)*5+15</f>
        <v/>
      </c>
      <c r="H161" s="32" t="inlineStr"/>
      <c r="I161" s="54" t="inlineStr">
        <is>
          <t>Reset every rep; lower to just below knee, return to lockout, then lower fully. W1 60% DL max; add +5 lb/week only if clean and ≤RPE 7. Deload: 2x3 @55% max.</t>
        </is>
      </c>
      <c r="J161" s="55" t="inlineStr"/>
      <c r="K161" s="55" t="inlineStr"/>
      <c r="L161" s="14" t="inlineStr">
        <is>
          <t>[ ]</t>
        </is>
      </c>
    </row>
    <row r="162" ht="22" customHeight="1">
      <c r="A162" s="32" t="n">
        <v>3</v>
      </c>
      <c r="B162" s="57" t="inlineStr">
        <is>
          <t>Reverse hyper</t>
        </is>
      </c>
      <c r="C162" s="32" t="inlineStr">
        <is>
          <t>Acc</t>
        </is>
      </c>
      <c r="D162" s="30" t="n">
        <v>2</v>
      </c>
      <c r="E162" s="30" t="inlineStr">
        <is>
          <t>15</t>
        </is>
      </c>
      <c r="F162" s="30" t="inlineStr"/>
      <c r="G162" s="32" t="inlineStr"/>
      <c r="H162" s="32" t="inlineStr"/>
      <c r="I162" s="56" t="inlineStr"/>
      <c r="J162" s="55" t="inlineStr"/>
      <c r="K162" s="55" t="inlineStr"/>
      <c r="L162" s="14" t="inlineStr">
        <is>
          <t>[ ]</t>
        </is>
      </c>
    </row>
    <row r="163" ht="22" customHeight="1">
      <c r="A163" s="32" t="n">
        <v>4</v>
      </c>
      <c r="B163" s="57" t="inlineStr">
        <is>
          <t>Jefferson curl</t>
        </is>
      </c>
      <c r="C163" s="32" t="inlineStr">
        <is>
          <t>Acc</t>
        </is>
      </c>
      <c r="D163" s="30" t="n">
        <v>2</v>
      </c>
      <c r="E163" s="30" t="inlineStr">
        <is>
          <t>8</t>
        </is>
      </c>
      <c r="F163" s="30" t="inlineStr"/>
      <c r="G163" s="32" t="inlineStr"/>
      <c r="H163" s="32" t="inlineStr"/>
      <c r="I163" s="56" t="inlineStr"/>
      <c r="J163" s="55" t="inlineStr"/>
      <c r="K163" s="55" t="inlineStr"/>
      <c r="L163" s="14" t="inlineStr">
        <is>
          <t>[ ]</t>
        </is>
      </c>
    </row>
    <row r="164"/>
    <row r="165" ht="22" customHeight="1">
      <c r="A165" s="50" t="inlineStr">
        <is>
          <t>Day 4 : Friday — Bench variant / upper body</t>
        </is>
      </c>
    </row>
    <row r="166" ht="36" customHeight="1">
      <c r="A166" s="51" t="inlineStr">
        <is>
          <t>💡 Coaching Rationale: Tempo bench at 65% keeps this a lighter technique day. After Tuesday's 8 sets, this session should feel like recovery, not another hard push.</t>
        </is>
      </c>
    </row>
    <row r="167" ht="22" customHeight="1">
      <c r="A167" s="52" t="inlineStr">
        <is>
          <t>#</t>
        </is>
      </c>
      <c r="B167" s="52" t="inlineStr">
        <is>
          <t>Exercise</t>
        </is>
      </c>
      <c r="C167" s="52" t="inlineStr">
        <is>
          <t>Type</t>
        </is>
      </c>
      <c r="D167" s="52" t="inlineStr">
        <is>
          <t>Sets</t>
        </is>
      </c>
      <c r="E167" s="52" t="inlineStr">
        <is>
          <t>Reps</t>
        </is>
      </c>
      <c r="F167" s="52" t="inlineStr">
        <is>
          <t>% 1RM</t>
        </is>
      </c>
      <c r="G167" s="52" t="inlineStr">
        <is>
          <t>Prescribed (lbs)</t>
        </is>
      </c>
      <c r="H167" s="52" t="inlineStr">
        <is>
          <t>RPE</t>
        </is>
      </c>
      <c r="I167" s="52" t="inlineStr">
        <is>
          <t>Technique Notes</t>
        </is>
      </c>
      <c r="J167" s="52" t="inlineStr">
        <is>
          <t>Actual Wt</t>
        </is>
      </c>
      <c r="K167" s="52" t="inlineStr">
        <is>
          <t>Reps/Notes</t>
        </is>
      </c>
      <c r="L167" s="52" t="inlineStr">
        <is>
          <t>Done</t>
        </is>
      </c>
    </row>
    <row r="168" ht="22" customHeight="1">
      <c r="A168" s="32" t="n">
        <v>1</v>
      </c>
      <c r="B168" s="53" t="inlineStr">
        <is>
          <t>Tempo bench</t>
        </is>
      </c>
      <c r="C168" s="34" t="inlineStr">
        <is>
          <t>Main</t>
        </is>
      </c>
      <c r="D168" s="28" t="n">
        <v>4</v>
      </c>
      <c r="E168" s="28" t="inlineStr">
        <is>
          <t>3</t>
        </is>
      </c>
      <c r="F168" s="28" t="inlineStr">
        <is>
          <t>65%</t>
        </is>
      </c>
      <c r="G168" s="35">
        <f>ROUND('Setup &amp; Dashboard'!$C$8*0.65/5, 0)*5</f>
        <v/>
      </c>
      <c r="H168" s="28" t="inlineStr">
        <is>
          <t>@7</t>
        </is>
      </c>
      <c r="I168" s="56" t="inlineStr"/>
      <c r="J168" s="55" t="inlineStr"/>
      <c r="K168" s="55" t="inlineStr"/>
      <c r="L168" s="14" t="inlineStr">
        <is>
          <t>[ ]</t>
        </is>
      </c>
    </row>
    <row r="169" ht="22" customHeight="1">
      <c r="A169" s="32" t="n">
        <v>2</v>
      </c>
      <c r="B169" s="57" t="inlineStr">
        <is>
          <t>Lat pulldown</t>
        </is>
      </c>
      <c r="C169" s="32" t="inlineStr">
        <is>
          <t>Acc</t>
        </is>
      </c>
      <c r="D169" s="30" t="n">
        <v>3</v>
      </c>
      <c r="E169" s="30" t="inlineStr">
        <is>
          <t>10-12</t>
        </is>
      </c>
      <c r="F169" s="30" t="inlineStr"/>
      <c r="G169" s="32" t="inlineStr"/>
      <c r="H169" s="32" t="inlineStr"/>
      <c r="I169" s="56" t="inlineStr"/>
      <c r="J169" s="55" t="inlineStr"/>
      <c r="K169" s="55" t="inlineStr"/>
      <c r="L169" s="14" t="inlineStr">
        <is>
          <t>[ ]</t>
        </is>
      </c>
    </row>
    <row r="170" ht="22" customHeight="1">
      <c r="A170" s="32" t="n">
        <v>3</v>
      </c>
      <c r="B170" s="57" t="inlineStr">
        <is>
          <t>Lateral raise</t>
        </is>
      </c>
      <c r="C170" s="32" t="inlineStr">
        <is>
          <t>Acc</t>
        </is>
      </c>
      <c r="D170" s="30" t="n">
        <v>3</v>
      </c>
      <c r="E170" s="30" t="inlineStr">
        <is>
          <t>15</t>
        </is>
      </c>
      <c r="F170" s="30" t="inlineStr"/>
      <c r="G170" s="32" t="inlineStr"/>
      <c r="H170" s="32" t="inlineStr"/>
      <c r="I170" s="56" t="inlineStr"/>
      <c r="J170" s="55" t="inlineStr"/>
      <c r="K170" s="55" t="inlineStr"/>
      <c r="L170" s="14" t="inlineStr">
        <is>
          <t>[ ]</t>
        </is>
      </c>
    </row>
    <row r="171" ht="22" customHeight="1">
      <c r="A171" s="32" t="n">
        <v>4</v>
      </c>
      <c r="B171" s="57" t="inlineStr">
        <is>
          <t>Curl</t>
        </is>
      </c>
      <c r="C171" s="32" t="inlineStr">
        <is>
          <t>Acc</t>
        </is>
      </c>
      <c r="D171" s="30" t="n">
        <v>3</v>
      </c>
      <c r="E171" s="30" t="inlineStr">
        <is>
          <t>12</t>
        </is>
      </c>
      <c r="F171" s="30" t="inlineStr"/>
      <c r="G171" s="32" t="inlineStr"/>
      <c r="H171" s="32" t="inlineStr"/>
      <c r="I171" s="56" t="inlineStr"/>
      <c r="J171" s="55" t="inlineStr"/>
      <c r="K171" s="55" t="inlineStr"/>
      <c r="L171" s="14" t="inlineStr">
        <is>
          <t>[ ]</t>
        </is>
      </c>
    </row>
    <row r="172" ht="22" customHeight="1">
      <c r="A172" s="32" t="n">
        <v>5</v>
      </c>
      <c r="B172" s="57" t="inlineStr">
        <is>
          <t>Pallof press</t>
        </is>
      </c>
      <c r="C172" s="32" t="inlineStr">
        <is>
          <t>Acc</t>
        </is>
      </c>
      <c r="D172" s="30" t="n">
        <v>3</v>
      </c>
      <c r="E172" s="30" t="inlineStr">
        <is>
          <t>10/side</t>
        </is>
      </c>
      <c r="F172" s="30" t="inlineStr"/>
      <c r="G172" s="32" t="inlineStr"/>
      <c r="H172" s="32" t="inlineStr"/>
      <c r="I172" s="56" t="inlineStr"/>
      <c r="J172" s="55" t="inlineStr"/>
      <c r="K172" s="55" t="inlineStr"/>
      <c r="L172" s="14" t="inlineStr">
        <is>
          <t>[ ]</t>
        </is>
      </c>
    </row>
    <row r="173"/>
    <row r="174" ht="22" customHeight="1">
      <c r="A174" s="50" t="inlineStr">
        <is>
          <t>Day 5 : Saturday — Squat variant + Bent-over row</t>
        </is>
      </c>
    </row>
    <row r="175" ht="54" customHeight="1">
      <c r="A175" s="51" t="inlineStr">
        <is>
          <t>💡 Coaching Rationale: Paused squat reaches its accumulation peak at base + 15 lb for 3x3. Fatigue is highest at the end of this week. If the row or the squat goes above RPE 8, don't add weight next time.</t>
        </is>
      </c>
    </row>
    <row r="176" ht="22" customHeight="1">
      <c r="A176" s="52" t="inlineStr">
        <is>
          <t>#</t>
        </is>
      </c>
      <c r="B176" s="52" t="inlineStr">
        <is>
          <t>Exercise</t>
        </is>
      </c>
      <c r="C176" s="52" t="inlineStr">
        <is>
          <t>Type</t>
        </is>
      </c>
      <c r="D176" s="52" t="inlineStr">
        <is>
          <t>Sets</t>
        </is>
      </c>
      <c r="E176" s="52" t="inlineStr">
        <is>
          <t>Reps</t>
        </is>
      </c>
      <c r="F176" s="52" t="inlineStr">
        <is>
          <t>% 1RM</t>
        </is>
      </c>
      <c r="G176" s="52" t="inlineStr">
        <is>
          <t>Prescribed (lbs)</t>
        </is>
      </c>
      <c r="H176" s="52" t="inlineStr">
        <is>
          <t>RPE</t>
        </is>
      </c>
      <c r="I176" s="52" t="inlineStr">
        <is>
          <t>Technique Notes</t>
        </is>
      </c>
      <c r="J176" s="52" t="inlineStr">
        <is>
          <t>Actual Wt</t>
        </is>
      </c>
      <c r="K176" s="52" t="inlineStr">
        <is>
          <t>Reps/Notes</t>
        </is>
      </c>
      <c r="L176" s="52" t="inlineStr">
        <is>
          <t>Done</t>
        </is>
      </c>
    </row>
    <row r="177" ht="22" customHeight="1">
      <c r="A177" s="32" t="n">
        <v>1</v>
      </c>
      <c r="B177" s="53" t="inlineStr">
        <is>
          <t>Paused squat</t>
        </is>
      </c>
      <c r="C177" s="34" t="inlineStr">
        <is>
          <t>Main</t>
        </is>
      </c>
      <c r="D177" s="28" t="n">
        <v>3</v>
      </c>
      <c r="E177" s="28" t="inlineStr">
        <is>
          <t>3</t>
        </is>
      </c>
      <c r="F177" s="28" t="inlineStr">
        <is>
          <t xml:space="preserve">70% +15# </t>
        </is>
      </c>
      <c r="G177" s="35">
        <f>ROUND('Setup &amp; Dashboard'!$C$7*0.7/5, 0)*5+15</f>
        <v/>
      </c>
      <c r="H177" s="28" t="inlineStr">
        <is>
          <t>@≤8</t>
        </is>
      </c>
      <c r="I177" s="54" t="inlineStr">
        <is>
          <t>Clean reps; no grinding</t>
        </is>
      </c>
      <c r="J177" s="55" t="inlineStr"/>
      <c r="K177" s="55" t="inlineStr"/>
      <c r="L177" s="14" t="inlineStr">
        <is>
          <t>[ ]</t>
        </is>
      </c>
    </row>
    <row r="178" ht="22" customHeight="1">
      <c r="A178" s="32" t="n">
        <v>2</v>
      </c>
      <c r="B178" s="57" t="inlineStr">
        <is>
          <t>Bent-over row</t>
        </is>
      </c>
      <c r="C178" s="32" t="inlineStr">
        <is>
          <t>Acc</t>
        </is>
      </c>
      <c r="D178" s="30" t="n">
        <v>4</v>
      </c>
      <c r="E178" s="30" t="inlineStr">
        <is>
          <t>4-6</t>
        </is>
      </c>
      <c r="F178" s="30" t="inlineStr">
        <is>
          <t>Row +5#</t>
        </is>
      </c>
      <c r="G178" s="35">
        <f>'Setup &amp; Dashboard'!$C$10+(4-1)*5</f>
        <v/>
      </c>
      <c r="H178" s="32" t="inlineStr"/>
      <c r="I178" s="54" t="inlineStr">
        <is>
          <t>4 strict sets. Add 5 lb next exposure only when every set is clean and ≤RPE 8; deload load/reps, no failure.</t>
        </is>
      </c>
      <c r="J178" s="55" t="inlineStr"/>
      <c r="K178" s="55" t="inlineStr"/>
      <c r="L178" s="14" t="inlineStr">
        <is>
          <t>[ ]</t>
        </is>
      </c>
    </row>
    <row r="179" ht="22" customHeight="1">
      <c r="A179" s="32" t="n">
        <v>3</v>
      </c>
      <c r="B179" s="57" t="inlineStr">
        <is>
          <t>Reverse hyper</t>
        </is>
      </c>
      <c r="C179" s="32" t="inlineStr">
        <is>
          <t>Acc</t>
        </is>
      </c>
      <c r="D179" s="30" t="n">
        <v>2</v>
      </c>
      <c r="E179" s="30" t="inlineStr">
        <is>
          <t>12</t>
        </is>
      </c>
      <c r="F179" s="30" t="inlineStr"/>
      <c r="G179" s="32" t="inlineStr"/>
      <c r="H179" s="32" t="inlineStr"/>
      <c r="I179" s="56" t="inlineStr"/>
      <c r="J179" s="55" t="inlineStr"/>
      <c r="K179" s="55" t="inlineStr"/>
      <c r="L179" s="14" t="inlineStr">
        <is>
          <t>[ ]</t>
        </is>
      </c>
    </row>
    <row r="180" ht="22" customHeight="1">
      <c r="A180" s="32" t="n">
        <v>4</v>
      </c>
      <c r="B180" s="57" t="inlineStr">
        <is>
          <t>GHR or Nordic curl</t>
        </is>
      </c>
      <c r="C180" s="32" t="inlineStr">
        <is>
          <t>Acc</t>
        </is>
      </c>
      <c r="D180" s="30" t="n">
        <v>3</v>
      </c>
      <c r="E180" s="30" t="inlineStr">
        <is>
          <t>8</t>
        </is>
      </c>
      <c r="F180" s="30" t="inlineStr"/>
      <c r="G180" s="32" t="inlineStr"/>
      <c r="H180" s="32" t="inlineStr"/>
      <c r="I180" s="56" t="inlineStr"/>
      <c r="J180" s="55" t="inlineStr"/>
      <c r="K180" s="55" t="inlineStr"/>
      <c r="L180" s="14" t="inlineStr">
        <is>
          <t>[ ]</t>
        </is>
      </c>
    </row>
    <row r="181"/>
    <row r="182" ht="26" customHeight="1">
      <c r="A182" s="59" t="inlineStr">
        <is>
          <t>WEEK 5 — DELOAD</t>
        </is>
      </c>
    </row>
    <row r="183" ht="22" customHeight="1">
      <c r="A183" s="50" t="inlineStr">
        <is>
          <t>Day 1 : Monday — Squat</t>
        </is>
      </c>
    </row>
    <row r="184" ht="72" customHeight="1">
      <c r="A184" s="51" t="inlineStr">
        <is>
          <t>💡 Coaching Rationale: Everything drops to about 60% of max. The top single at 60% is optional. Skip it if it feels slow or your technique is off. The point of this week is to let four weeks of fatigue clear so Week 6 starts rested. Don't push harder than prescribed. Cutting the deload short undermines the whole next block.</t>
        </is>
      </c>
    </row>
    <row r="185" ht="22" customHeight="1">
      <c r="A185" s="52" t="inlineStr">
        <is>
          <t>#</t>
        </is>
      </c>
      <c r="B185" s="52" t="inlineStr">
        <is>
          <t>Exercise</t>
        </is>
      </c>
      <c r="C185" s="52" t="inlineStr">
        <is>
          <t>Type</t>
        </is>
      </c>
      <c r="D185" s="52" t="inlineStr">
        <is>
          <t>Sets</t>
        </is>
      </c>
      <c r="E185" s="52" t="inlineStr">
        <is>
          <t>Reps</t>
        </is>
      </c>
      <c r="F185" s="52" t="inlineStr">
        <is>
          <t>% 1RM</t>
        </is>
      </c>
      <c r="G185" s="52" t="inlineStr">
        <is>
          <t>Prescribed (lbs)</t>
        </is>
      </c>
      <c r="H185" s="52" t="inlineStr">
        <is>
          <t>RPE</t>
        </is>
      </c>
      <c r="I185" s="52" t="inlineStr">
        <is>
          <t>Technique Notes</t>
        </is>
      </c>
      <c r="J185" s="52" t="inlineStr">
        <is>
          <t>Actual Wt</t>
        </is>
      </c>
      <c r="K185" s="52" t="inlineStr">
        <is>
          <t>Reps/Notes</t>
        </is>
      </c>
      <c r="L185" s="52" t="inlineStr">
        <is>
          <t>Done</t>
        </is>
      </c>
    </row>
    <row r="186" ht="22" customHeight="1">
      <c r="A186" s="32" t="n">
        <v>1</v>
      </c>
      <c r="B186" s="53" t="inlineStr">
        <is>
          <t>Squat — top single</t>
        </is>
      </c>
      <c r="C186" s="34" t="inlineStr">
        <is>
          <t>Main</t>
        </is>
      </c>
      <c r="D186" s="28" t="n">
        <v>1</v>
      </c>
      <c r="E186" s="28" t="inlineStr">
        <is>
          <t>1</t>
        </is>
      </c>
      <c r="F186" s="28" t="inlineStr">
        <is>
          <t>60%</t>
        </is>
      </c>
      <c r="G186" s="35">
        <f>ROUND('Setup &amp; Dashboard'!$C$7*0.6/5, 0)*5</f>
        <v/>
      </c>
      <c r="H186" s="28" t="inlineStr">
        <is>
          <t>@7-8 cap</t>
        </is>
      </c>
      <c r="I186" s="54" t="inlineStr">
        <is>
          <t>Skip if slow or technically compromised</t>
        </is>
      </c>
      <c r="J186" s="55" t="inlineStr"/>
      <c r="K186" s="55" t="inlineStr"/>
      <c r="L186" s="14" t="inlineStr">
        <is>
          <t>[ ]</t>
        </is>
      </c>
    </row>
    <row r="187" ht="22" customHeight="1">
      <c r="A187" s="32" t="n">
        <v>2</v>
      </c>
      <c r="B187" s="53" t="inlineStr">
        <is>
          <t>Squat — back-off</t>
        </is>
      </c>
      <c r="C187" s="34" t="inlineStr">
        <is>
          <t>Main</t>
        </is>
      </c>
      <c r="D187" s="28" t="n">
        <v>3</v>
      </c>
      <c r="E187" s="28" t="inlineStr">
        <is>
          <t>3</t>
        </is>
      </c>
      <c r="F187" s="28" t="inlineStr">
        <is>
          <t>60%</t>
        </is>
      </c>
      <c r="G187" s="35">
        <f>ROUND('Setup &amp; Dashboard'!$C$7*0.6/5, 0)*5</f>
        <v/>
      </c>
      <c r="H187" s="28" t="inlineStr">
        <is>
          <t>@6</t>
        </is>
      </c>
      <c r="I187" s="56" t="inlineStr"/>
      <c r="J187" s="55" t="inlineStr"/>
      <c r="K187" s="55" t="inlineStr"/>
      <c r="L187" s="14" t="inlineStr">
        <is>
          <t>[ ]</t>
        </is>
      </c>
    </row>
    <row r="188" ht="22" customHeight="1">
      <c r="A188" s="32" t="n">
        <v>3</v>
      </c>
      <c r="B188" s="57" t="inlineStr">
        <is>
          <t>Split squat</t>
        </is>
      </c>
      <c r="C188" s="32" t="inlineStr">
        <is>
          <t>Acc</t>
        </is>
      </c>
      <c r="D188" s="30" t="n">
        <v>2</v>
      </c>
      <c r="E188" s="30" t="inlineStr">
        <is>
          <t>8/leg</t>
        </is>
      </c>
      <c r="F188" s="30" t="inlineStr"/>
      <c r="G188" s="32" t="inlineStr"/>
      <c r="H188" s="32" t="inlineStr"/>
      <c r="I188" s="56" t="inlineStr"/>
      <c r="J188" s="55" t="inlineStr"/>
      <c r="K188" s="55" t="inlineStr"/>
      <c r="L188" s="14" t="inlineStr">
        <is>
          <t>[ ]</t>
        </is>
      </c>
    </row>
    <row r="189" ht="22" customHeight="1">
      <c r="A189" s="32" t="n">
        <v>4</v>
      </c>
      <c r="B189" s="57" t="inlineStr">
        <is>
          <t>Leg curl</t>
        </is>
      </c>
      <c r="C189" s="32" t="inlineStr">
        <is>
          <t>Acc</t>
        </is>
      </c>
      <c r="D189" s="30" t="n">
        <v>2</v>
      </c>
      <c r="E189" s="30" t="inlineStr">
        <is>
          <t>10</t>
        </is>
      </c>
      <c r="F189" s="30" t="inlineStr"/>
      <c r="G189" s="32" t="inlineStr"/>
      <c r="H189" s="32" t="inlineStr"/>
      <c r="I189" s="56" t="inlineStr"/>
      <c r="J189" s="55" t="inlineStr"/>
      <c r="K189" s="55" t="inlineStr"/>
      <c r="L189" s="14" t="inlineStr">
        <is>
          <t>[ ]</t>
        </is>
      </c>
    </row>
    <row r="190" ht="22" customHeight="1">
      <c r="A190" s="32" t="n">
        <v>5</v>
      </c>
      <c r="B190" s="57" t="inlineStr">
        <is>
          <t>Copenhagen plank</t>
        </is>
      </c>
      <c r="C190" s="32" t="inlineStr">
        <is>
          <t>Acc</t>
        </is>
      </c>
      <c r="D190" s="30" t="n">
        <v>2</v>
      </c>
      <c r="E190" s="30" t="inlineStr">
        <is>
          <t>15sec/side</t>
        </is>
      </c>
      <c r="F190" s="30" t="inlineStr"/>
      <c r="G190" s="32" t="inlineStr"/>
      <c r="H190" s="32" t="inlineStr"/>
      <c r="I190" s="56" t="inlineStr"/>
      <c r="J190" s="55" t="inlineStr"/>
      <c r="K190" s="55" t="inlineStr"/>
      <c r="L190" s="14" t="inlineStr">
        <is>
          <t>[ ]</t>
        </is>
      </c>
    </row>
    <row r="191"/>
    <row r="192" ht="22" customHeight="1">
      <c r="A192" s="50" t="inlineStr">
        <is>
          <t>Day 2 : Tuesday — Bench</t>
        </is>
      </c>
    </row>
    <row r="193" ht="36" customHeight="1">
      <c r="A193" s="51" t="inlineStr">
        <is>
          <t>💡 Coaching Rationale: Bench drops to 5x3 at 60% of max, RPE 6. The volume stays moderate but the weight is light enough to recover.</t>
        </is>
      </c>
    </row>
    <row r="194" ht="22" customHeight="1">
      <c r="A194" s="52" t="inlineStr">
        <is>
          <t>#</t>
        </is>
      </c>
      <c r="B194" s="52" t="inlineStr">
        <is>
          <t>Exercise</t>
        </is>
      </c>
      <c r="C194" s="52" t="inlineStr">
        <is>
          <t>Type</t>
        </is>
      </c>
      <c r="D194" s="52" t="inlineStr">
        <is>
          <t>Sets</t>
        </is>
      </c>
      <c r="E194" s="52" t="inlineStr">
        <is>
          <t>Reps</t>
        </is>
      </c>
      <c r="F194" s="52" t="inlineStr">
        <is>
          <t>% 1RM</t>
        </is>
      </c>
      <c r="G194" s="52" t="inlineStr">
        <is>
          <t>Prescribed (lbs)</t>
        </is>
      </c>
      <c r="H194" s="52" t="inlineStr">
        <is>
          <t>RPE</t>
        </is>
      </c>
      <c r="I194" s="52" t="inlineStr">
        <is>
          <t>Technique Notes</t>
        </is>
      </c>
      <c r="J194" s="52" t="inlineStr">
        <is>
          <t>Actual Wt</t>
        </is>
      </c>
      <c r="K194" s="52" t="inlineStr">
        <is>
          <t>Reps/Notes</t>
        </is>
      </c>
      <c r="L194" s="52" t="inlineStr">
        <is>
          <t>Done</t>
        </is>
      </c>
    </row>
    <row r="195" ht="22" customHeight="1">
      <c r="A195" s="32" t="n">
        <v>1</v>
      </c>
      <c r="B195" s="53" t="inlineStr">
        <is>
          <t>Bench</t>
        </is>
      </c>
      <c r="C195" s="34" t="inlineStr">
        <is>
          <t>Main</t>
        </is>
      </c>
      <c r="D195" s="28" t="n">
        <v>5</v>
      </c>
      <c r="E195" s="28" t="inlineStr">
        <is>
          <t>3</t>
        </is>
      </c>
      <c r="F195" s="28" t="inlineStr">
        <is>
          <t>60%</t>
        </is>
      </c>
      <c r="G195" s="35">
        <f>ROUND('Setup &amp; Dashboard'!$C$8*0.6/5, 0)*5</f>
        <v/>
      </c>
      <c r="H195" s="28" t="inlineStr">
        <is>
          <t>@6</t>
        </is>
      </c>
      <c r="I195" s="56" t="inlineStr"/>
      <c r="J195" s="55" t="inlineStr"/>
      <c r="K195" s="55" t="inlineStr"/>
      <c r="L195" s="14" t="inlineStr">
        <is>
          <t>[ ]</t>
        </is>
      </c>
    </row>
    <row r="196" ht="22" customHeight="1">
      <c r="A196" s="32" t="n">
        <v>2</v>
      </c>
      <c r="B196" s="57" t="inlineStr">
        <is>
          <t>Close-grip bench</t>
        </is>
      </c>
      <c r="C196" s="32" t="inlineStr">
        <is>
          <t>Acc</t>
        </is>
      </c>
      <c r="D196" s="30" t="n">
        <v>2</v>
      </c>
      <c r="E196" s="30" t="inlineStr">
        <is>
          <t>5</t>
        </is>
      </c>
      <c r="F196" s="30" t="inlineStr"/>
      <c r="G196" s="32" t="inlineStr"/>
      <c r="H196" s="32" t="inlineStr"/>
      <c r="I196" s="56" t="inlineStr"/>
      <c r="J196" s="55" t="inlineStr"/>
      <c r="K196" s="55" t="inlineStr"/>
      <c r="L196" s="14" t="inlineStr">
        <is>
          <t>[ ]</t>
        </is>
      </c>
    </row>
    <row r="197" ht="22" customHeight="1">
      <c r="A197" s="32" t="n">
        <v>3</v>
      </c>
      <c r="B197" s="57" t="inlineStr">
        <is>
          <t>Incline DB press</t>
        </is>
      </c>
      <c r="C197" s="32" t="inlineStr">
        <is>
          <t>Acc</t>
        </is>
      </c>
      <c r="D197" s="30" t="n">
        <v>2</v>
      </c>
      <c r="E197" s="30" t="inlineStr">
        <is>
          <t>10</t>
        </is>
      </c>
      <c r="F197" s="30" t="inlineStr"/>
      <c r="G197" s="32" t="inlineStr"/>
      <c r="H197" s="32" t="inlineStr"/>
      <c r="I197" s="56" t="inlineStr"/>
      <c r="J197" s="55" t="inlineStr"/>
      <c r="K197" s="55" t="inlineStr"/>
      <c r="L197" s="14" t="inlineStr">
        <is>
          <t>[ ]</t>
        </is>
      </c>
    </row>
    <row r="198" ht="22" customHeight="1">
      <c r="A198" s="32" t="n">
        <v>4</v>
      </c>
      <c r="B198" s="57" t="inlineStr">
        <is>
          <t>Face pull</t>
        </is>
      </c>
      <c r="C198" s="32" t="inlineStr">
        <is>
          <t>Acc</t>
        </is>
      </c>
      <c r="D198" s="30" t="n">
        <v>2</v>
      </c>
      <c r="E198" s="30" t="inlineStr">
        <is>
          <t>15</t>
        </is>
      </c>
      <c r="F198" s="30" t="inlineStr"/>
      <c r="G198" s="32" t="inlineStr"/>
      <c r="H198" s="32" t="inlineStr"/>
      <c r="I198" s="56" t="inlineStr"/>
      <c r="J198" s="55" t="inlineStr"/>
      <c r="K198" s="55" t="inlineStr"/>
      <c r="L198" s="14" t="inlineStr">
        <is>
          <t>[ ]</t>
        </is>
      </c>
    </row>
    <row r="199" ht="22" customHeight="1">
      <c r="A199" s="32" t="n">
        <v>5</v>
      </c>
      <c r="B199" s="57" t="inlineStr">
        <is>
          <t>Pallof press</t>
        </is>
      </c>
      <c r="C199" s="32" t="inlineStr">
        <is>
          <t>Acc</t>
        </is>
      </c>
      <c r="D199" s="30" t="n">
        <v>2</v>
      </c>
      <c r="E199" s="30" t="inlineStr">
        <is>
          <t>8/side</t>
        </is>
      </c>
      <c r="F199" s="30" t="inlineStr"/>
      <c r="G199" s="32" t="inlineStr"/>
      <c r="H199" s="32" t="inlineStr"/>
      <c r="I199" s="56" t="inlineStr"/>
      <c r="J199" s="55" t="inlineStr"/>
      <c r="K199" s="55" t="inlineStr"/>
      <c r="L199" s="14" t="inlineStr">
        <is>
          <t>[ ]</t>
        </is>
      </c>
    </row>
    <row r="200"/>
    <row r="201" ht="22" customHeight="1">
      <c r="A201" s="50" t="inlineStr">
        <is>
          <t>Day 3 : Thursday — Deadlift</t>
        </is>
      </c>
    </row>
    <row r="202" ht="36" customHeight="1">
      <c r="A202" s="51" t="inlineStr">
        <is>
          <t>💡 Coaching Rationale: Deadlift drops to 55% of max, the lightest of the three lifts, because deadlift builds up the most fatigue. The 1.5-rep deadlift drops to 2x3 at 55% of estimated true max.</t>
        </is>
      </c>
    </row>
    <row r="203" ht="22" customHeight="1">
      <c r="A203" s="52" t="inlineStr">
        <is>
          <t>#</t>
        </is>
      </c>
      <c r="B203" s="52" t="inlineStr">
        <is>
          <t>Exercise</t>
        </is>
      </c>
      <c r="C203" s="52" t="inlineStr">
        <is>
          <t>Type</t>
        </is>
      </c>
      <c r="D203" s="52" t="inlineStr">
        <is>
          <t>Sets</t>
        </is>
      </c>
      <c r="E203" s="52" t="inlineStr">
        <is>
          <t>Reps</t>
        </is>
      </c>
      <c r="F203" s="52" t="inlineStr">
        <is>
          <t>% 1RM</t>
        </is>
      </c>
      <c r="G203" s="52" t="inlineStr">
        <is>
          <t>Prescribed (lbs)</t>
        </is>
      </c>
      <c r="H203" s="52" t="inlineStr">
        <is>
          <t>RPE</t>
        </is>
      </c>
      <c r="I203" s="52" t="inlineStr">
        <is>
          <t>Technique Notes</t>
        </is>
      </c>
      <c r="J203" s="52" t="inlineStr">
        <is>
          <t>Actual Wt</t>
        </is>
      </c>
      <c r="K203" s="52" t="inlineStr">
        <is>
          <t>Reps/Notes</t>
        </is>
      </c>
      <c r="L203" s="52" t="inlineStr">
        <is>
          <t>Done</t>
        </is>
      </c>
    </row>
    <row r="204" ht="22" customHeight="1">
      <c r="A204" s="32" t="n">
        <v>1</v>
      </c>
      <c r="B204" s="53" t="inlineStr">
        <is>
          <t>Deadlift</t>
        </is>
      </c>
      <c r="C204" s="34" t="inlineStr">
        <is>
          <t>Main</t>
        </is>
      </c>
      <c r="D204" s="28" t="n">
        <v>2</v>
      </c>
      <c r="E204" s="28" t="inlineStr">
        <is>
          <t>3</t>
        </is>
      </c>
      <c r="F204" s="28" t="inlineStr">
        <is>
          <t>55%</t>
        </is>
      </c>
      <c r="G204" s="35">
        <f>ROUND('Setup &amp; Dashboard'!$C$9*0.55/5, 0)*5</f>
        <v/>
      </c>
      <c r="H204" s="28" t="inlineStr">
        <is>
          <t>@6</t>
        </is>
      </c>
      <c r="I204" s="56" t="inlineStr"/>
      <c r="J204" s="55" t="inlineStr"/>
      <c r="K204" s="55" t="inlineStr"/>
      <c r="L204" s="14" t="inlineStr">
        <is>
          <t>[ ]</t>
        </is>
      </c>
    </row>
    <row r="205" ht="22" customHeight="1">
      <c r="A205" s="32" t="n">
        <v>2</v>
      </c>
      <c r="B205" s="53" t="inlineStr">
        <is>
          <t>1.5-rep deadlift (knee height)</t>
        </is>
      </c>
      <c r="C205" s="34" t="inlineStr">
        <is>
          <t>Main</t>
        </is>
      </c>
      <c r="D205" s="28" t="n">
        <v>2</v>
      </c>
      <c r="E205" s="28" t="inlineStr">
        <is>
          <t>3</t>
        </is>
      </c>
      <c r="F205" s="28" t="inlineStr">
        <is>
          <t>55%</t>
        </is>
      </c>
      <c r="G205" s="35">
        <f>ROUND('Setup &amp; Dashboard'!$C$9*0.55/5, 0)*5</f>
        <v/>
      </c>
      <c r="H205" s="32" t="inlineStr"/>
      <c r="I205" s="54" t="inlineStr">
        <is>
          <t>Reset every rep; lower to just below knee, return to lockout, then lower fully. W1 60% DL max; add +5 lb/week only if clean and ≤RPE 7. Deload: 2x3 @55% max.</t>
        </is>
      </c>
      <c r="J205" s="55" t="inlineStr"/>
      <c r="K205" s="55" t="inlineStr"/>
      <c r="L205" s="14" t="inlineStr">
        <is>
          <t>[ ]</t>
        </is>
      </c>
    </row>
    <row r="206" ht="22" customHeight="1">
      <c r="A206" s="32" t="n">
        <v>3</v>
      </c>
      <c r="B206" s="57" t="inlineStr">
        <is>
          <t>Reverse hyper</t>
        </is>
      </c>
      <c r="C206" s="32" t="inlineStr">
        <is>
          <t>Acc</t>
        </is>
      </c>
      <c r="D206" s="30" t="n">
        <v>2</v>
      </c>
      <c r="E206" s="30" t="inlineStr">
        <is>
          <t>12</t>
        </is>
      </c>
      <c r="F206" s="30" t="inlineStr"/>
      <c r="G206" s="32" t="inlineStr"/>
      <c r="H206" s="32" t="inlineStr"/>
      <c r="I206" s="56" t="inlineStr"/>
      <c r="J206" s="55" t="inlineStr"/>
      <c r="K206" s="55" t="inlineStr"/>
      <c r="L206" s="14" t="inlineStr">
        <is>
          <t>[ ]</t>
        </is>
      </c>
    </row>
    <row r="207" ht="22" customHeight="1">
      <c r="A207" s="32" t="n">
        <v>4</v>
      </c>
      <c r="B207" s="57" t="inlineStr">
        <is>
          <t>Jefferson curl</t>
        </is>
      </c>
      <c r="C207" s="32" t="inlineStr">
        <is>
          <t>Acc</t>
        </is>
      </c>
      <c r="D207" s="30" t="n">
        <v>1</v>
      </c>
      <c r="E207" s="30" t="inlineStr">
        <is>
          <t>6</t>
        </is>
      </c>
      <c r="F207" s="30" t="inlineStr"/>
      <c r="G207" s="32" t="inlineStr"/>
      <c r="H207" s="32" t="inlineStr"/>
      <c r="I207" s="56" t="inlineStr"/>
      <c r="J207" s="55" t="inlineStr"/>
      <c r="K207" s="55" t="inlineStr"/>
      <c r="L207" s="14" t="inlineStr">
        <is>
          <t>[ ]</t>
        </is>
      </c>
    </row>
    <row r="208"/>
    <row r="209" ht="22" customHeight="1">
      <c r="A209" s="50" t="inlineStr">
        <is>
          <t>Day 4 : Friday — Bench variant / upper body</t>
        </is>
      </c>
    </row>
    <row r="210" ht="36" customHeight="1">
      <c r="A210" s="51" t="inlineStr">
        <is>
          <t>💡 Coaching Rationale: Light paused bench and only 2 sets of each accessory. This day should feel almost too easy, and that's correct.</t>
        </is>
      </c>
    </row>
    <row r="211" ht="22" customHeight="1">
      <c r="A211" s="52" t="inlineStr">
        <is>
          <t>#</t>
        </is>
      </c>
      <c r="B211" s="52" t="inlineStr">
        <is>
          <t>Exercise</t>
        </is>
      </c>
      <c r="C211" s="52" t="inlineStr">
        <is>
          <t>Type</t>
        </is>
      </c>
      <c r="D211" s="52" t="inlineStr">
        <is>
          <t>Sets</t>
        </is>
      </c>
      <c r="E211" s="52" t="inlineStr">
        <is>
          <t>Reps</t>
        </is>
      </c>
      <c r="F211" s="52" t="inlineStr">
        <is>
          <t>% 1RM</t>
        </is>
      </c>
      <c r="G211" s="52" t="inlineStr">
        <is>
          <t>Prescribed (lbs)</t>
        </is>
      </c>
      <c r="H211" s="52" t="inlineStr">
        <is>
          <t>RPE</t>
        </is>
      </c>
      <c r="I211" s="52" t="inlineStr">
        <is>
          <t>Technique Notes</t>
        </is>
      </c>
      <c r="J211" s="52" t="inlineStr">
        <is>
          <t>Actual Wt</t>
        </is>
      </c>
      <c r="K211" s="52" t="inlineStr">
        <is>
          <t>Reps/Notes</t>
        </is>
      </c>
      <c r="L211" s="52" t="inlineStr">
        <is>
          <t>Done</t>
        </is>
      </c>
    </row>
    <row r="212" ht="22" customHeight="1">
      <c r="A212" s="32" t="n">
        <v>1</v>
      </c>
      <c r="B212" s="53" t="inlineStr">
        <is>
          <t>Light paused bench</t>
        </is>
      </c>
      <c r="C212" s="34" t="inlineStr">
        <is>
          <t>Main</t>
        </is>
      </c>
      <c r="D212" s="28" t="n">
        <v>3</v>
      </c>
      <c r="E212" s="28" t="inlineStr">
        <is>
          <t>3</t>
        </is>
      </c>
      <c r="F212" s="28" t="inlineStr">
        <is>
          <t>55%</t>
        </is>
      </c>
      <c r="G212" s="35">
        <f>ROUND('Setup &amp; Dashboard'!$C$8*0.55/5, 0)*5</f>
        <v/>
      </c>
      <c r="H212" s="28" t="inlineStr">
        <is>
          <t>@6</t>
        </is>
      </c>
      <c r="I212" s="56" t="inlineStr"/>
      <c r="J212" s="55" t="inlineStr"/>
      <c r="K212" s="55" t="inlineStr"/>
      <c r="L212" s="14" t="inlineStr">
        <is>
          <t>[ ]</t>
        </is>
      </c>
    </row>
    <row r="213" ht="22" customHeight="1">
      <c r="A213" s="32" t="n">
        <v>2</v>
      </c>
      <c r="B213" s="57" t="inlineStr">
        <is>
          <t>Lat pulldown</t>
        </is>
      </c>
      <c r="C213" s="32" t="inlineStr">
        <is>
          <t>Acc</t>
        </is>
      </c>
      <c r="D213" s="30" t="n">
        <v>2</v>
      </c>
      <c r="E213" s="30" t="inlineStr">
        <is>
          <t>10</t>
        </is>
      </c>
      <c r="F213" s="30" t="inlineStr"/>
      <c r="G213" s="32" t="inlineStr"/>
      <c r="H213" s="32" t="inlineStr"/>
      <c r="I213" s="56" t="inlineStr"/>
      <c r="J213" s="55" t="inlineStr"/>
      <c r="K213" s="55" t="inlineStr"/>
      <c r="L213" s="14" t="inlineStr">
        <is>
          <t>[ ]</t>
        </is>
      </c>
    </row>
    <row r="214" ht="22" customHeight="1">
      <c r="A214" s="32" t="n">
        <v>3</v>
      </c>
      <c r="B214" s="57" t="inlineStr">
        <is>
          <t>Lateral raise</t>
        </is>
      </c>
      <c r="C214" s="32" t="inlineStr">
        <is>
          <t>Acc</t>
        </is>
      </c>
      <c r="D214" s="30" t="n">
        <v>2</v>
      </c>
      <c r="E214" s="30" t="inlineStr">
        <is>
          <t>15</t>
        </is>
      </c>
      <c r="F214" s="30" t="inlineStr"/>
      <c r="G214" s="32" t="inlineStr"/>
      <c r="H214" s="32" t="inlineStr"/>
      <c r="I214" s="56" t="inlineStr"/>
      <c r="J214" s="55" t="inlineStr"/>
      <c r="K214" s="55" t="inlineStr"/>
      <c r="L214" s="14" t="inlineStr">
        <is>
          <t>[ ]</t>
        </is>
      </c>
    </row>
    <row r="215" ht="22" customHeight="1">
      <c r="A215" s="32" t="n">
        <v>4</v>
      </c>
      <c r="B215" s="57" t="inlineStr">
        <is>
          <t>Curl</t>
        </is>
      </c>
      <c r="C215" s="32" t="inlineStr">
        <is>
          <t>Acc</t>
        </is>
      </c>
      <c r="D215" s="30" t="n">
        <v>2</v>
      </c>
      <c r="E215" s="30" t="inlineStr">
        <is>
          <t>10</t>
        </is>
      </c>
      <c r="F215" s="30" t="inlineStr"/>
      <c r="G215" s="32" t="inlineStr"/>
      <c r="H215" s="32" t="inlineStr"/>
      <c r="I215" s="56" t="inlineStr"/>
      <c r="J215" s="55" t="inlineStr"/>
      <c r="K215" s="55" t="inlineStr"/>
      <c r="L215" s="14" t="inlineStr">
        <is>
          <t>[ ]</t>
        </is>
      </c>
    </row>
    <row r="216"/>
    <row r="217" ht="22" customHeight="1">
      <c r="A217" s="50" t="inlineStr">
        <is>
          <t>Day 5 : Saturday — Squat variant + Bent-over row</t>
        </is>
      </c>
    </row>
    <row r="218" ht="36" customHeight="1">
      <c r="A218" s="51" t="inlineStr">
        <is>
          <t>💡 Coaching Rationale: Paused squat drops to 2x3 at 55% of max. Rows keep going as an easy pattern day with lighter weight or fewer reps and no grinding.</t>
        </is>
      </c>
    </row>
    <row r="219" ht="22" customHeight="1">
      <c r="A219" s="52" t="inlineStr">
        <is>
          <t>#</t>
        </is>
      </c>
      <c r="B219" s="52" t="inlineStr">
        <is>
          <t>Exercise</t>
        </is>
      </c>
      <c r="C219" s="52" t="inlineStr">
        <is>
          <t>Type</t>
        </is>
      </c>
      <c r="D219" s="52" t="inlineStr">
        <is>
          <t>Sets</t>
        </is>
      </c>
      <c r="E219" s="52" t="inlineStr">
        <is>
          <t>Reps</t>
        </is>
      </c>
      <c r="F219" s="52" t="inlineStr">
        <is>
          <t>% 1RM</t>
        </is>
      </c>
      <c r="G219" s="52" t="inlineStr">
        <is>
          <t>Prescribed (lbs)</t>
        </is>
      </c>
      <c r="H219" s="52" t="inlineStr">
        <is>
          <t>RPE</t>
        </is>
      </c>
      <c r="I219" s="52" t="inlineStr">
        <is>
          <t>Technique Notes</t>
        </is>
      </c>
      <c r="J219" s="52" t="inlineStr">
        <is>
          <t>Actual Wt</t>
        </is>
      </c>
      <c r="K219" s="52" t="inlineStr">
        <is>
          <t>Reps/Notes</t>
        </is>
      </c>
      <c r="L219" s="52" t="inlineStr">
        <is>
          <t>Done</t>
        </is>
      </c>
    </row>
    <row r="220" ht="22" customHeight="1">
      <c r="A220" s="32" t="n">
        <v>1</v>
      </c>
      <c r="B220" s="53" t="inlineStr">
        <is>
          <t>Paused squat</t>
        </is>
      </c>
      <c r="C220" s="34" t="inlineStr">
        <is>
          <t>Main</t>
        </is>
      </c>
      <c r="D220" s="28" t="n">
        <v>2</v>
      </c>
      <c r="E220" s="28" t="inlineStr">
        <is>
          <t>3</t>
        </is>
      </c>
      <c r="F220" s="28" t="inlineStr">
        <is>
          <t>55%</t>
        </is>
      </c>
      <c r="G220" s="35">
        <f>ROUND('Setup &amp; Dashboard'!$C$7*0.55/5, 0)*5</f>
        <v/>
      </c>
      <c r="H220" s="32" t="inlineStr"/>
      <c r="I220" s="54" t="inlineStr">
        <is>
          <t>Easy deload; reduce fatigue</t>
        </is>
      </c>
      <c r="J220" s="55" t="inlineStr"/>
      <c r="K220" s="55" t="inlineStr"/>
      <c r="L220" s="14" t="inlineStr">
        <is>
          <t>[ ]</t>
        </is>
      </c>
    </row>
    <row r="221" ht="22" customHeight="1">
      <c r="A221" s="32" t="n">
        <v>2</v>
      </c>
      <c r="B221" s="57" t="inlineStr">
        <is>
          <t>Bent-over row</t>
        </is>
      </c>
      <c r="C221" s="32" t="inlineStr">
        <is>
          <t>Acc</t>
        </is>
      </c>
      <c r="D221" s="30" t="n">
        <v>4</v>
      </c>
      <c r="E221" s="30" t="inlineStr">
        <is>
          <t>4-6</t>
        </is>
      </c>
      <c r="F221" s="30" t="inlineStr">
        <is>
          <t>Row +5#</t>
        </is>
      </c>
      <c r="G221" s="35">
        <f>'Setup &amp; Dashboard'!$C$10+(5-1)*5</f>
        <v/>
      </c>
      <c r="H221" s="32" t="inlineStr"/>
      <c r="I221" s="54" t="inlineStr">
        <is>
          <t>4 strict sets. Add 5 lb next exposure only when every set is clean and ≤RPE 8; deload load/reps, no failure.</t>
        </is>
      </c>
      <c r="J221" s="55" t="inlineStr"/>
      <c r="K221" s="55" t="inlineStr"/>
      <c r="L221" s="14" t="inlineStr">
        <is>
          <t>[ ]</t>
        </is>
      </c>
    </row>
    <row r="222" ht="22" customHeight="1">
      <c r="A222" s="32" t="n">
        <v>3</v>
      </c>
      <c r="B222" s="57" t="inlineStr">
        <is>
          <t>Reverse hyper</t>
        </is>
      </c>
      <c r="C222" s="32" t="inlineStr">
        <is>
          <t>Acc</t>
        </is>
      </c>
      <c r="D222" s="30" t="n">
        <v>1</v>
      </c>
      <c r="E222" s="30" t="inlineStr">
        <is>
          <t>12</t>
        </is>
      </c>
      <c r="F222" s="30" t="inlineStr"/>
      <c r="G222" s="32" t="inlineStr"/>
      <c r="H222" s="32" t="inlineStr"/>
      <c r="I222" s="56" t="inlineStr"/>
      <c r="J222" s="55" t="inlineStr"/>
      <c r="K222" s="55" t="inlineStr"/>
      <c r="L222" s="14" t="inlineStr">
        <is>
          <t>[ ]</t>
        </is>
      </c>
    </row>
  </sheetData>
  <mergeCells count="57">
    <mergeCell ref="A78:L78"/>
    <mergeCell ref="A218:L218"/>
    <mergeCell ref="A16:L16"/>
    <mergeCell ref="A183:L183"/>
    <mergeCell ref="A25:L25"/>
    <mergeCell ref="A41:L41"/>
    <mergeCell ref="A174:L174"/>
    <mergeCell ref="A193:L193"/>
    <mergeCell ref="A217:L217"/>
    <mergeCell ref="A149:L149"/>
    <mergeCell ref="A158:L158"/>
    <mergeCell ref="A192:L192"/>
    <mergeCell ref="A105:L105"/>
    <mergeCell ref="A50:L50"/>
    <mergeCell ref="A95:L95"/>
    <mergeCell ref="A113:L113"/>
    <mergeCell ref="A2:L2"/>
    <mergeCell ref="A86:L86"/>
    <mergeCell ref="A104:L104"/>
    <mergeCell ref="A139:L139"/>
    <mergeCell ref="A42:L42"/>
    <mergeCell ref="A175:L175"/>
    <mergeCell ref="A210:L210"/>
    <mergeCell ref="A33:L33"/>
    <mergeCell ref="A5:L5"/>
    <mergeCell ref="A32:L32"/>
    <mergeCell ref="A122:L122"/>
    <mergeCell ref="A140:L140"/>
    <mergeCell ref="A184:L184"/>
    <mergeCell ref="A131:L131"/>
    <mergeCell ref="A4:L4"/>
    <mergeCell ref="A96:L96"/>
    <mergeCell ref="A209:L209"/>
    <mergeCell ref="A52:L52"/>
    <mergeCell ref="A165:L165"/>
    <mergeCell ref="A121:L121"/>
    <mergeCell ref="A202:L202"/>
    <mergeCell ref="A130:L130"/>
    <mergeCell ref="A77:L77"/>
    <mergeCell ref="A114:L114"/>
    <mergeCell ref="A148:L148"/>
    <mergeCell ref="A24:L24"/>
    <mergeCell ref="A157:L157"/>
    <mergeCell ref="A201:L201"/>
    <mergeCell ref="A15:L15"/>
    <mergeCell ref="A166:L166"/>
    <mergeCell ref="A60:L60"/>
    <mergeCell ref="A51:L51"/>
    <mergeCell ref="A138:L138"/>
    <mergeCell ref="A182:L182"/>
    <mergeCell ref="A1:L1"/>
    <mergeCell ref="A94:L94"/>
    <mergeCell ref="A61:L61"/>
    <mergeCell ref="A6:L6"/>
    <mergeCell ref="A70:L70"/>
    <mergeCell ref="A69:L69"/>
    <mergeCell ref="A87:L8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20"/>
  <sheetViews>
    <sheetView showGridLines="1" workbookViewId="0">
      <selection activeCell="A1" sqref="A1"/>
    </sheetView>
  </sheetViews>
  <sheetFormatPr baseColWidth="8" defaultRowHeight="15" outlineLevelCol="0"/>
  <cols>
    <col width="5" customWidth="1" min="1" max="1"/>
    <col width="33" customWidth="1" min="2" max="2"/>
    <col width="10" customWidth="1" min="3" max="3"/>
    <col width="8" customWidth="1" min="4" max="4"/>
    <col width="16" customWidth="1" min="5" max="5"/>
    <col width="12" customWidth="1" min="6" max="6"/>
    <col width="50" customWidth="1" min="7" max="7"/>
    <col width="11" customWidth="1" min="8" max="8"/>
    <col width="160" customWidth="1" min="9" max="9"/>
    <col width="14" customWidth="1" min="10" max="10"/>
    <col width="20" customWidth="1" min="11" max="11"/>
    <col width="8" customWidth="1" min="12" max="12"/>
  </cols>
  <sheetData>
    <row r="1" ht="30" customHeight="1">
      <c r="A1" s="1" t="inlineStr">
        <is>
          <t>CHIKO_LIFTS : BLOCK 2 (W6-10) (WEEKS 6–10)</t>
        </is>
      </c>
    </row>
    <row r="2" ht="20" customHeight="1">
      <c r="A2" s="2" t="inlineStr">
        <is>
          <t>Neural Drive Shift, Heavy Doubles Threshold, High-Bar Squat &amp; Week 10 Pre-Peak Deload</t>
        </is>
      </c>
    </row>
    <row r="3"/>
    <row r="4" ht="26" customHeight="1">
      <c r="A4" s="60" t="inlineStr">
        <is>
          <t>WEEK 6 — INTENSIFICATION</t>
        </is>
      </c>
    </row>
    <row r="5" ht="22" customHeight="1">
      <c r="A5" s="50" t="inlineStr">
        <is>
          <t>Day 1 : Monday — Squat</t>
        </is>
      </c>
    </row>
    <row r="6" ht="54" customHeight="1">
      <c r="A6" s="51" t="inlineStr">
        <is>
          <t>💡 Coaching Rationale: Intensification starts. The top single jumps to 90% of max, but it's capped at RPE 8. If it isn't smooth, don't push it. The back-offs drop to 5x3 at 83%. Because you're rested, RPE 8 here should feel similar to Week 4's RPE 8 even though the weight is heavier.</t>
        </is>
      </c>
    </row>
    <row r="7" ht="22" customHeight="1">
      <c r="A7" s="52" t="inlineStr">
        <is>
          <t>#</t>
        </is>
      </c>
      <c r="B7" s="52" t="inlineStr">
        <is>
          <t>Exercise</t>
        </is>
      </c>
      <c r="C7" s="52" t="inlineStr">
        <is>
          <t>Type</t>
        </is>
      </c>
      <c r="D7" s="52" t="inlineStr">
        <is>
          <t>Sets</t>
        </is>
      </c>
      <c r="E7" s="52" t="inlineStr">
        <is>
          <t>Reps</t>
        </is>
      </c>
      <c r="F7" s="52" t="inlineStr">
        <is>
          <t>% 1RM</t>
        </is>
      </c>
      <c r="G7" s="52" t="inlineStr">
        <is>
          <t>Prescribed (lbs)</t>
        </is>
      </c>
      <c r="H7" s="52" t="inlineStr">
        <is>
          <t>RPE</t>
        </is>
      </c>
      <c r="I7" s="52" t="inlineStr">
        <is>
          <t>Technique Notes</t>
        </is>
      </c>
      <c r="J7" s="52" t="inlineStr">
        <is>
          <t>Actual Wt</t>
        </is>
      </c>
      <c r="K7" s="52" t="inlineStr">
        <is>
          <t>Reps/Notes</t>
        </is>
      </c>
      <c r="L7" s="52" t="inlineStr">
        <is>
          <t>Done</t>
        </is>
      </c>
    </row>
    <row r="8" ht="22" customHeight="1">
      <c r="A8" s="32" t="n">
        <v>1</v>
      </c>
      <c r="B8" s="53" t="inlineStr">
        <is>
          <t>Squat — top single</t>
        </is>
      </c>
      <c r="C8" s="34" t="inlineStr">
        <is>
          <t>Main</t>
        </is>
      </c>
      <c r="D8" s="28" t="n">
        <v>1</v>
      </c>
      <c r="E8" s="28" t="inlineStr">
        <is>
          <t>1</t>
        </is>
      </c>
      <c r="F8" s="28" t="inlineStr">
        <is>
          <t>90%</t>
        </is>
      </c>
      <c r="G8" s="35">
        <f>ROUND('Setup &amp; Dashboard'!$C$7*0.9/5, 0)*5</f>
        <v/>
      </c>
      <c r="H8" s="28" t="inlineStr">
        <is>
          <t>@8 cap</t>
        </is>
      </c>
      <c r="I8" s="54" t="inlineStr">
        <is>
          <t>Smooth single, no grind</t>
        </is>
      </c>
      <c r="J8" s="55" t="inlineStr"/>
      <c r="K8" s="55" t="inlineStr"/>
      <c r="L8" s="14" t="inlineStr">
        <is>
          <t>[ ]</t>
        </is>
      </c>
    </row>
    <row r="9" ht="22" customHeight="1">
      <c r="A9" s="32" t="n">
        <v>2</v>
      </c>
      <c r="B9" s="53" t="inlineStr">
        <is>
          <t>Squat — back-off</t>
        </is>
      </c>
      <c r="C9" s="34" t="inlineStr">
        <is>
          <t>Main</t>
        </is>
      </c>
      <c r="D9" s="28" t="n">
        <v>5</v>
      </c>
      <c r="E9" s="28" t="inlineStr">
        <is>
          <t>3</t>
        </is>
      </c>
      <c r="F9" s="28" t="inlineStr">
        <is>
          <t>83%</t>
        </is>
      </c>
      <c r="G9" s="35">
        <f>ROUND('Setup &amp; Dashboard'!$C$7*0.83/5, 0)*5</f>
        <v/>
      </c>
      <c r="H9" s="28" t="inlineStr">
        <is>
          <t>@8</t>
        </is>
      </c>
      <c r="I9" s="56" t="inlineStr"/>
      <c r="J9" s="55" t="inlineStr"/>
      <c r="K9" s="55" t="inlineStr"/>
      <c r="L9" s="14" t="inlineStr">
        <is>
          <t>[ ]</t>
        </is>
      </c>
    </row>
    <row r="10" ht="22" customHeight="1">
      <c r="A10" s="32" t="n">
        <v>3</v>
      </c>
      <c r="B10" s="57" t="inlineStr">
        <is>
          <t>Bulgarian split squat</t>
        </is>
      </c>
      <c r="C10" s="32" t="inlineStr">
        <is>
          <t>Acc</t>
        </is>
      </c>
      <c r="D10" s="30" t="n">
        <v>3</v>
      </c>
      <c r="E10" s="30" t="inlineStr">
        <is>
          <t>8</t>
        </is>
      </c>
      <c r="F10" s="30" t="inlineStr"/>
      <c r="G10" s="32" t="inlineStr"/>
      <c r="H10" s="32" t="inlineStr"/>
      <c r="I10" s="56" t="inlineStr"/>
      <c r="J10" s="55" t="inlineStr"/>
      <c r="K10" s="55" t="inlineStr"/>
      <c r="L10" s="14" t="inlineStr">
        <is>
          <t>[ ]</t>
        </is>
      </c>
    </row>
    <row r="11" ht="22" customHeight="1">
      <c r="A11" s="32" t="n">
        <v>4</v>
      </c>
      <c r="B11" s="57" t="inlineStr">
        <is>
          <t>Leg curl</t>
        </is>
      </c>
      <c r="C11" s="32" t="inlineStr">
        <is>
          <t>Acc</t>
        </is>
      </c>
      <c r="D11" s="30" t="n">
        <v>3</v>
      </c>
      <c r="E11" s="30" t="inlineStr">
        <is>
          <t>10</t>
        </is>
      </c>
      <c r="F11" s="30" t="inlineStr"/>
      <c r="G11" s="32" t="inlineStr"/>
      <c r="H11" s="32" t="inlineStr"/>
      <c r="I11" s="56" t="inlineStr"/>
      <c r="J11" s="55" t="inlineStr"/>
      <c r="K11" s="55" t="inlineStr"/>
      <c r="L11" s="14" t="inlineStr">
        <is>
          <t>[ ]</t>
        </is>
      </c>
    </row>
    <row r="12" ht="22" customHeight="1">
      <c r="A12" s="32" t="n">
        <v>5</v>
      </c>
      <c r="B12" s="57" t="inlineStr">
        <is>
          <t>Copenhagen plank</t>
        </is>
      </c>
      <c r="C12" s="32" t="inlineStr">
        <is>
          <t>Acc</t>
        </is>
      </c>
      <c r="D12" s="30" t="n">
        <v>3</v>
      </c>
      <c r="E12" s="30" t="inlineStr">
        <is>
          <t>20sec/side</t>
        </is>
      </c>
      <c r="F12" s="30" t="inlineStr"/>
      <c r="G12" s="32" t="inlineStr"/>
      <c r="H12" s="32" t="inlineStr"/>
      <c r="I12" s="56" t="inlineStr"/>
      <c r="J12" s="55" t="inlineStr"/>
      <c r="K12" s="55" t="inlineStr"/>
      <c r="L12" s="14" t="inlineStr">
        <is>
          <t>[ ]</t>
        </is>
      </c>
    </row>
    <row r="13"/>
    <row r="14" ht="22" customHeight="1">
      <c r="A14" s="50" t="inlineStr">
        <is>
          <t>Day 2 : Tuesday — Bench</t>
        </is>
      </c>
    </row>
    <row r="15" ht="36" customHeight="1">
      <c r="A15" s="51" t="inlineStr">
        <is>
          <t>💡 Coaching Rationale: Bench is 7x3 at 83% of max, RPE 8: fewer reps per set and heavier weight than the accumulation block.</t>
        </is>
      </c>
    </row>
    <row r="16" ht="22" customHeight="1">
      <c r="A16" s="52" t="inlineStr">
        <is>
          <t>#</t>
        </is>
      </c>
      <c r="B16" s="52" t="inlineStr">
        <is>
          <t>Exercise</t>
        </is>
      </c>
      <c r="C16" s="52" t="inlineStr">
        <is>
          <t>Type</t>
        </is>
      </c>
      <c r="D16" s="52" t="inlineStr">
        <is>
          <t>Sets</t>
        </is>
      </c>
      <c r="E16" s="52" t="inlineStr">
        <is>
          <t>Reps</t>
        </is>
      </c>
      <c r="F16" s="52" t="inlineStr">
        <is>
          <t>% 1RM</t>
        </is>
      </c>
      <c r="G16" s="52" t="inlineStr">
        <is>
          <t>Prescribed (lbs)</t>
        </is>
      </c>
      <c r="H16" s="52" t="inlineStr">
        <is>
          <t>RPE</t>
        </is>
      </c>
      <c r="I16" s="52" t="inlineStr">
        <is>
          <t>Technique Notes</t>
        </is>
      </c>
      <c r="J16" s="52" t="inlineStr">
        <is>
          <t>Actual Wt</t>
        </is>
      </c>
      <c r="K16" s="52" t="inlineStr">
        <is>
          <t>Reps/Notes</t>
        </is>
      </c>
      <c r="L16" s="52" t="inlineStr">
        <is>
          <t>Done</t>
        </is>
      </c>
    </row>
    <row r="17" ht="22" customHeight="1">
      <c r="A17" s="32" t="n">
        <v>1</v>
      </c>
      <c r="B17" s="53" t="inlineStr">
        <is>
          <t>Bench</t>
        </is>
      </c>
      <c r="C17" s="34" t="inlineStr">
        <is>
          <t>Main</t>
        </is>
      </c>
      <c r="D17" s="28" t="n">
        <v>7</v>
      </c>
      <c r="E17" s="28" t="inlineStr">
        <is>
          <t>3</t>
        </is>
      </c>
      <c r="F17" s="28" t="inlineStr">
        <is>
          <t>83%</t>
        </is>
      </c>
      <c r="G17" s="35">
        <f>ROUND('Setup &amp; Dashboard'!$C$8*0.83/5, 0)*5</f>
        <v/>
      </c>
      <c r="H17" s="28" t="inlineStr">
        <is>
          <t>@8</t>
        </is>
      </c>
      <c r="I17" s="56" t="inlineStr"/>
      <c r="J17" s="55" t="inlineStr"/>
      <c r="K17" s="55" t="inlineStr"/>
      <c r="L17" s="14" t="inlineStr">
        <is>
          <t>[ ]</t>
        </is>
      </c>
    </row>
    <row r="18" ht="22" customHeight="1">
      <c r="A18" s="32" t="n">
        <v>2</v>
      </c>
      <c r="B18" s="57" t="inlineStr">
        <is>
          <t>Close-grip bench</t>
        </is>
      </c>
      <c r="C18" s="32" t="inlineStr">
        <is>
          <t>Acc</t>
        </is>
      </c>
      <c r="D18" s="30" t="n">
        <v>3</v>
      </c>
      <c r="E18" s="30" t="inlineStr">
        <is>
          <t>5</t>
        </is>
      </c>
      <c r="F18" s="30" t="inlineStr"/>
      <c r="G18" s="32" t="inlineStr"/>
      <c r="H18" s="32" t="inlineStr"/>
      <c r="I18" s="56" t="inlineStr"/>
      <c r="J18" s="55" t="inlineStr"/>
      <c r="K18" s="55" t="inlineStr"/>
      <c r="L18" s="14" t="inlineStr">
        <is>
          <t>[ ]</t>
        </is>
      </c>
    </row>
    <row r="19" ht="22" customHeight="1">
      <c r="A19" s="32" t="n">
        <v>3</v>
      </c>
      <c r="B19" s="57" t="inlineStr">
        <is>
          <t>Incline DB press</t>
        </is>
      </c>
      <c r="C19" s="32" t="inlineStr">
        <is>
          <t>Acc</t>
        </is>
      </c>
      <c r="D19" s="30" t="n">
        <v>3</v>
      </c>
      <c r="E19" s="30" t="inlineStr">
        <is>
          <t>8-10</t>
        </is>
      </c>
      <c r="F19" s="30" t="inlineStr"/>
      <c r="G19" s="32" t="inlineStr"/>
      <c r="H19" s="32" t="inlineStr"/>
      <c r="I19" s="56" t="inlineStr"/>
      <c r="J19" s="55" t="inlineStr"/>
      <c r="K19" s="55" t="inlineStr"/>
      <c r="L19" s="14" t="inlineStr">
        <is>
          <t>[ ]</t>
        </is>
      </c>
    </row>
    <row r="20" ht="22" customHeight="1">
      <c r="A20" s="32" t="n">
        <v>4</v>
      </c>
      <c r="B20" s="57" t="inlineStr">
        <is>
          <t>Triceps pressdown</t>
        </is>
      </c>
      <c r="C20" s="32" t="inlineStr">
        <is>
          <t>Acc</t>
        </is>
      </c>
      <c r="D20" s="30" t="n">
        <v>3</v>
      </c>
      <c r="E20" s="30" t="inlineStr">
        <is>
          <t>12</t>
        </is>
      </c>
      <c r="F20" s="30" t="inlineStr"/>
      <c r="G20" s="32" t="inlineStr"/>
      <c r="H20" s="32" t="inlineStr"/>
      <c r="I20" s="56" t="inlineStr"/>
      <c r="J20" s="55" t="inlineStr"/>
      <c r="K20" s="55" t="inlineStr"/>
      <c r="L20" s="14" t="inlineStr">
        <is>
          <t>[ ]</t>
        </is>
      </c>
    </row>
    <row r="21" ht="22" customHeight="1">
      <c r="A21" s="32" t="n">
        <v>5</v>
      </c>
      <c r="B21" s="57" t="inlineStr">
        <is>
          <t>Face pull</t>
        </is>
      </c>
      <c r="C21" s="32" t="inlineStr">
        <is>
          <t>Acc</t>
        </is>
      </c>
      <c r="D21" s="30" t="n">
        <v>3</v>
      </c>
      <c r="E21" s="30" t="inlineStr">
        <is>
          <t>15</t>
        </is>
      </c>
      <c r="F21" s="30" t="inlineStr"/>
      <c r="G21" s="32" t="inlineStr"/>
      <c r="H21" s="32" t="inlineStr"/>
      <c r="I21" s="56" t="inlineStr"/>
      <c r="J21" s="55" t="inlineStr"/>
      <c r="K21" s="55" t="inlineStr"/>
      <c r="L21" s="14" t="inlineStr">
        <is>
          <t>[ ]</t>
        </is>
      </c>
    </row>
    <row r="22"/>
    <row r="23" ht="22" customHeight="1">
      <c r="A23" s="50" t="inlineStr">
        <is>
          <t>Day 3 : Thursday — Deadlift</t>
        </is>
      </c>
    </row>
    <row r="24" ht="54" customHeight="1">
      <c r="A24" s="51" t="inlineStr">
        <is>
          <t>💡 Coaching Rationale: Deadlift drops to 3 sets (3x3 at 82%) as the weight goes up, protecting recovery. The 1.5-rep deadlift picks up at base + 25 lb. The deload week counts on the weekly calendar, so this is 5 weeks of progression from Week 1.</t>
        </is>
      </c>
    </row>
    <row r="25" ht="22" customHeight="1">
      <c r="A25" s="52" t="inlineStr">
        <is>
          <t>#</t>
        </is>
      </c>
      <c r="B25" s="52" t="inlineStr">
        <is>
          <t>Exercise</t>
        </is>
      </c>
      <c r="C25" s="52" t="inlineStr">
        <is>
          <t>Type</t>
        </is>
      </c>
      <c r="D25" s="52" t="inlineStr">
        <is>
          <t>Sets</t>
        </is>
      </c>
      <c r="E25" s="52" t="inlineStr">
        <is>
          <t>Reps</t>
        </is>
      </c>
      <c r="F25" s="52" t="inlineStr">
        <is>
          <t>% 1RM</t>
        </is>
      </c>
      <c r="G25" s="52" t="inlineStr">
        <is>
          <t>Prescribed (lbs)</t>
        </is>
      </c>
      <c r="H25" s="52" t="inlineStr">
        <is>
          <t>RPE</t>
        </is>
      </c>
      <c r="I25" s="52" t="inlineStr">
        <is>
          <t>Technique Notes</t>
        </is>
      </c>
      <c r="J25" s="52" t="inlineStr">
        <is>
          <t>Actual Wt</t>
        </is>
      </c>
      <c r="K25" s="52" t="inlineStr">
        <is>
          <t>Reps/Notes</t>
        </is>
      </c>
      <c r="L25" s="52" t="inlineStr">
        <is>
          <t>Done</t>
        </is>
      </c>
    </row>
    <row r="26" ht="22" customHeight="1">
      <c r="A26" s="32" t="n">
        <v>1</v>
      </c>
      <c r="B26" s="53" t="inlineStr">
        <is>
          <t>Deadlift</t>
        </is>
      </c>
      <c r="C26" s="34" t="inlineStr">
        <is>
          <t>Main</t>
        </is>
      </c>
      <c r="D26" s="28" t="n">
        <v>3</v>
      </c>
      <c r="E26" s="28" t="inlineStr">
        <is>
          <t>3</t>
        </is>
      </c>
      <c r="F26" s="28" t="inlineStr">
        <is>
          <t>82%</t>
        </is>
      </c>
      <c r="G26" s="35">
        <f>ROUND('Setup &amp; Dashboard'!$C$9*0.82/5, 0)*5</f>
        <v/>
      </c>
      <c r="H26" s="28" t="inlineStr">
        <is>
          <t>@8</t>
        </is>
      </c>
      <c r="I26" s="56" t="inlineStr"/>
      <c r="J26" s="55" t="inlineStr"/>
      <c r="K26" s="55" t="inlineStr"/>
      <c r="L26" s="14" t="inlineStr">
        <is>
          <t>[ ]</t>
        </is>
      </c>
    </row>
    <row r="27" ht="22" customHeight="1">
      <c r="A27" s="32" t="n">
        <v>2</v>
      </c>
      <c r="B27" s="53" t="inlineStr">
        <is>
          <t>1.5-rep deadlift (knee height)</t>
        </is>
      </c>
      <c r="C27" s="34" t="inlineStr">
        <is>
          <t>Main</t>
        </is>
      </c>
      <c r="D27" s="28" t="n">
        <v>3</v>
      </c>
      <c r="E27" s="28" t="inlineStr">
        <is>
          <t>3</t>
        </is>
      </c>
      <c r="F27" s="28" t="inlineStr">
        <is>
          <t xml:space="preserve">60% +25# </t>
        </is>
      </c>
      <c r="G27" s="35">
        <f>ROUND('Setup &amp; Dashboard'!$C$9*0.6/5, 0)*5+25</f>
        <v/>
      </c>
      <c r="H27" s="32" t="inlineStr"/>
      <c r="I27" s="54" t="inlineStr">
        <is>
          <t>Reset every rep; lower to just below knee, return to lockout, then lower fully. W1 60% DL max; add +5 lb/week only if clean and ≤RPE 7. Deload: 2x3 @55% max.</t>
        </is>
      </c>
      <c r="J27" s="55" t="inlineStr"/>
      <c r="K27" s="55" t="inlineStr"/>
      <c r="L27" s="14" t="inlineStr">
        <is>
          <t>[ ]</t>
        </is>
      </c>
    </row>
    <row r="28" ht="22" customHeight="1">
      <c r="A28" s="32" t="n">
        <v>3</v>
      </c>
      <c r="B28" s="57" t="inlineStr">
        <is>
          <t>Reverse hyper</t>
        </is>
      </c>
      <c r="C28" s="32" t="inlineStr">
        <is>
          <t>Acc</t>
        </is>
      </c>
      <c r="D28" s="30" t="n">
        <v>2</v>
      </c>
      <c r="E28" s="30" t="inlineStr">
        <is>
          <t>12</t>
        </is>
      </c>
      <c r="F28" s="30" t="inlineStr"/>
      <c r="G28" s="32" t="inlineStr"/>
      <c r="H28" s="32" t="inlineStr"/>
      <c r="I28" s="56" t="inlineStr"/>
      <c r="J28" s="55" t="inlineStr"/>
      <c r="K28" s="55" t="inlineStr"/>
      <c r="L28" s="14" t="inlineStr">
        <is>
          <t>[ ]</t>
        </is>
      </c>
    </row>
    <row r="29" ht="22" customHeight="1">
      <c r="A29" s="32" t="n">
        <v>4</v>
      </c>
      <c r="B29" s="57" t="inlineStr">
        <is>
          <t>Jefferson curl</t>
        </is>
      </c>
      <c r="C29" s="32" t="inlineStr">
        <is>
          <t>Acc</t>
        </is>
      </c>
      <c r="D29" s="30" t="n">
        <v>2</v>
      </c>
      <c r="E29" s="30" t="inlineStr">
        <is>
          <t>8</t>
        </is>
      </c>
      <c r="F29" s="30" t="inlineStr"/>
      <c r="G29" s="32" t="inlineStr"/>
      <c r="H29" s="32" t="inlineStr"/>
      <c r="I29" s="56" t="inlineStr"/>
      <c r="J29" s="55" t="inlineStr"/>
      <c r="K29" s="55" t="inlineStr"/>
      <c r="L29" s="14" t="inlineStr">
        <is>
          <t>[ ]</t>
        </is>
      </c>
    </row>
    <row r="30"/>
    <row r="31" ht="22" customHeight="1">
      <c r="A31" s="50" t="inlineStr">
        <is>
          <t>Day 4 : Friday — Bench variant / upper body</t>
        </is>
      </c>
    </row>
    <row r="32" ht="36" customHeight="1">
      <c r="A32" s="51" t="inlineStr">
        <is>
          <t>💡 Coaching Rationale: Spoto press goes to 65% but stays a submaximal support day. This session's job is technique and upper-body support, not a new heavy weight.</t>
        </is>
      </c>
    </row>
    <row r="33" ht="22" customHeight="1">
      <c r="A33" s="52" t="inlineStr">
        <is>
          <t>#</t>
        </is>
      </c>
      <c r="B33" s="52" t="inlineStr">
        <is>
          <t>Exercise</t>
        </is>
      </c>
      <c r="C33" s="52" t="inlineStr">
        <is>
          <t>Type</t>
        </is>
      </c>
      <c r="D33" s="52" t="inlineStr">
        <is>
          <t>Sets</t>
        </is>
      </c>
      <c r="E33" s="52" t="inlineStr">
        <is>
          <t>Reps</t>
        </is>
      </c>
      <c r="F33" s="52" t="inlineStr">
        <is>
          <t>% 1RM</t>
        </is>
      </c>
      <c r="G33" s="52" t="inlineStr">
        <is>
          <t>Prescribed (lbs)</t>
        </is>
      </c>
      <c r="H33" s="52" t="inlineStr">
        <is>
          <t>RPE</t>
        </is>
      </c>
      <c r="I33" s="52" t="inlineStr">
        <is>
          <t>Technique Notes</t>
        </is>
      </c>
      <c r="J33" s="52" t="inlineStr">
        <is>
          <t>Actual Wt</t>
        </is>
      </c>
      <c r="K33" s="52" t="inlineStr">
        <is>
          <t>Reps/Notes</t>
        </is>
      </c>
      <c r="L33" s="52" t="inlineStr">
        <is>
          <t>Done</t>
        </is>
      </c>
    </row>
    <row r="34" ht="22" customHeight="1">
      <c r="A34" s="32" t="n">
        <v>1</v>
      </c>
      <c r="B34" s="53" t="inlineStr">
        <is>
          <t>Spoto press</t>
        </is>
      </c>
      <c r="C34" s="34" t="inlineStr">
        <is>
          <t>Main</t>
        </is>
      </c>
      <c r="D34" s="28" t="n">
        <v>4</v>
      </c>
      <c r="E34" s="28" t="inlineStr">
        <is>
          <t>3</t>
        </is>
      </c>
      <c r="F34" s="28" t="inlineStr">
        <is>
          <t>65%</t>
        </is>
      </c>
      <c r="G34" s="35">
        <f>ROUND('Setup &amp; Dashboard'!$C$8*0.65/5, 0)*5</f>
        <v/>
      </c>
      <c r="H34" s="28" t="inlineStr">
        <is>
          <t>@7</t>
        </is>
      </c>
      <c r="I34" s="56" t="inlineStr"/>
      <c r="J34" s="55" t="inlineStr"/>
      <c r="K34" s="55" t="inlineStr"/>
      <c r="L34" s="14" t="inlineStr">
        <is>
          <t>[ ]</t>
        </is>
      </c>
    </row>
    <row r="35" ht="22" customHeight="1">
      <c r="A35" s="32" t="n">
        <v>2</v>
      </c>
      <c r="B35" s="57" t="inlineStr">
        <is>
          <t>Lat pulldown</t>
        </is>
      </c>
      <c r="C35" s="32" t="inlineStr">
        <is>
          <t>Acc</t>
        </is>
      </c>
      <c r="D35" s="30" t="n">
        <v>3</v>
      </c>
      <c r="E35" s="30" t="inlineStr">
        <is>
          <t>10</t>
        </is>
      </c>
      <c r="F35" s="30" t="inlineStr"/>
      <c r="G35" s="32" t="inlineStr"/>
      <c r="H35" s="32" t="inlineStr"/>
      <c r="I35" s="56" t="inlineStr"/>
      <c r="J35" s="55" t="inlineStr"/>
      <c r="K35" s="55" t="inlineStr"/>
      <c r="L35" s="14" t="inlineStr">
        <is>
          <t>[ ]</t>
        </is>
      </c>
    </row>
    <row r="36" ht="22" customHeight="1">
      <c r="A36" s="32" t="n">
        <v>3</v>
      </c>
      <c r="B36" s="57" t="inlineStr">
        <is>
          <t>Lateral raise</t>
        </is>
      </c>
      <c r="C36" s="32" t="inlineStr">
        <is>
          <t>Acc</t>
        </is>
      </c>
      <c r="D36" s="30" t="n">
        <v>3</v>
      </c>
      <c r="E36" s="30" t="inlineStr">
        <is>
          <t>15</t>
        </is>
      </c>
      <c r="F36" s="30" t="inlineStr"/>
      <c r="G36" s="32" t="inlineStr"/>
      <c r="H36" s="32" t="inlineStr"/>
      <c r="I36" s="56" t="inlineStr"/>
      <c r="J36" s="55" t="inlineStr"/>
      <c r="K36" s="55" t="inlineStr"/>
      <c r="L36" s="14" t="inlineStr">
        <is>
          <t>[ ]</t>
        </is>
      </c>
    </row>
    <row r="37" ht="22" customHeight="1">
      <c r="A37" s="32" t="n">
        <v>4</v>
      </c>
      <c r="B37" s="57" t="inlineStr">
        <is>
          <t>Curl</t>
        </is>
      </c>
      <c r="C37" s="32" t="inlineStr">
        <is>
          <t>Acc</t>
        </is>
      </c>
      <c r="D37" s="30" t="n">
        <v>3</v>
      </c>
      <c r="E37" s="30" t="inlineStr">
        <is>
          <t>10-12</t>
        </is>
      </c>
      <c r="F37" s="30" t="inlineStr"/>
      <c r="G37" s="32" t="inlineStr"/>
      <c r="H37" s="32" t="inlineStr"/>
      <c r="I37" s="56" t="inlineStr"/>
      <c r="J37" s="55" t="inlineStr"/>
      <c r="K37" s="55" t="inlineStr"/>
      <c r="L37" s="14" t="inlineStr">
        <is>
          <t>[ ]</t>
        </is>
      </c>
    </row>
    <row r="38" ht="22" customHeight="1">
      <c r="A38" s="32" t="n">
        <v>5</v>
      </c>
      <c r="B38" s="57" t="inlineStr">
        <is>
          <t>Pallof press</t>
        </is>
      </c>
      <c r="C38" s="32" t="inlineStr">
        <is>
          <t>Acc</t>
        </is>
      </c>
      <c r="D38" s="30" t="n">
        <v>3</v>
      </c>
      <c r="E38" s="30" t="inlineStr">
        <is>
          <t>10/side</t>
        </is>
      </c>
      <c r="F38" s="30" t="inlineStr"/>
      <c r="G38" s="32" t="inlineStr"/>
      <c r="H38" s="32" t="inlineStr"/>
      <c r="I38" s="56" t="inlineStr"/>
      <c r="J38" s="55" t="inlineStr"/>
      <c r="K38" s="55" t="inlineStr"/>
      <c r="L38" s="14" t="inlineStr">
        <is>
          <t>[ ]</t>
        </is>
      </c>
    </row>
    <row r="39"/>
    <row r="40" ht="22" customHeight="1">
      <c r="A40" s="50" t="inlineStr">
        <is>
          <t>Day 5 : Saturday — Squat variant + Bent-over row</t>
        </is>
      </c>
    </row>
    <row r="41" ht="36" customHeight="1">
      <c r="A41" s="51" t="inlineStr">
        <is>
          <t>💡 Coaching Rationale: Paused squat resumes its progression at base + 20 lb for 3x4. This is its last week before the switch to high-bar squat.</t>
        </is>
      </c>
    </row>
    <row r="42" ht="22" customHeight="1">
      <c r="A42" s="52" t="inlineStr">
        <is>
          <t>#</t>
        </is>
      </c>
      <c r="B42" s="52" t="inlineStr">
        <is>
          <t>Exercise</t>
        </is>
      </c>
      <c r="C42" s="52" t="inlineStr">
        <is>
          <t>Type</t>
        </is>
      </c>
      <c r="D42" s="52" t="inlineStr">
        <is>
          <t>Sets</t>
        </is>
      </c>
      <c r="E42" s="52" t="inlineStr">
        <is>
          <t>Reps</t>
        </is>
      </c>
      <c r="F42" s="52" t="inlineStr">
        <is>
          <t>% 1RM</t>
        </is>
      </c>
      <c r="G42" s="52" t="inlineStr">
        <is>
          <t>Prescribed (lbs)</t>
        </is>
      </c>
      <c r="H42" s="52" t="inlineStr">
        <is>
          <t>RPE</t>
        </is>
      </c>
      <c r="I42" s="52" t="inlineStr">
        <is>
          <t>Technique Notes</t>
        </is>
      </c>
      <c r="J42" s="52" t="inlineStr">
        <is>
          <t>Actual Wt</t>
        </is>
      </c>
      <c r="K42" s="52" t="inlineStr">
        <is>
          <t>Reps/Notes</t>
        </is>
      </c>
      <c r="L42" s="52" t="inlineStr">
        <is>
          <t>Done</t>
        </is>
      </c>
    </row>
    <row r="43" ht="22" customHeight="1">
      <c r="A43" s="32" t="n">
        <v>1</v>
      </c>
      <c r="B43" s="53" t="inlineStr">
        <is>
          <t>Paused squat</t>
        </is>
      </c>
      <c r="C43" s="34" t="inlineStr">
        <is>
          <t>Main</t>
        </is>
      </c>
      <c r="D43" s="28" t="n">
        <v>3</v>
      </c>
      <c r="E43" s="28" t="inlineStr">
        <is>
          <t>4</t>
        </is>
      </c>
      <c r="F43" s="28" t="inlineStr">
        <is>
          <t xml:space="preserve">70% +20# </t>
        </is>
      </c>
      <c r="G43" s="35">
        <f>ROUND('Setup &amp; Dashboard'!$C$7*0.7/5, 0)*5+20</f>
        <v/>
      </c>
      <c r="H43" s="28" t="inlineStr">
        <is>
          <t>@≤8</t>
        </is>
      </c>
      <c r="I43" s="54" t="inlineStr">
        <is>
          <t>Clean reps; no grinding</t>
        </is>
      </c>
      <c r="J43" s="55" t="inlineStr"/>
      <c r="K43" s="55" t="inlineStr"/>
      <c r="L43" s="14" t="inlineStr">
        <is>
          <t>[ ]</t>
        </is>
      </c>
    </row>
    <row r="44" ht="22" customHeight="1">
      <c r="A44" s="32" t="n">
        <v>2</v>
      </c>
      <c r="B44" s="57" t="inlineStr">
        <is>
          <t>Bent-over row</t>
        </is>
      </c>
      <c r="C44" s="32" t="inlineStr">
        <is>
          <t>Acc</t>
        </is>
      </c>
      <c r="D44" s="30" t="n">
        <v>4</v>
      </c>
      <c r="E44" s="30" t="inlineStr">
        <is>
          <t>4-6</t>
        </is>
      </c>
      <c r="F44" s="30" t="inlineStr">
        <is>
          <t>Row +5#</t>
        </is>
      </c>
      <c r="G44" s="35">
        <f>'Setup &amp; Dashboard'!$C$10+(6-1)*5</f>
        <v/>
      </c>
      <c r="H44" s="32" t="inlineStr"/>
      <c r="I44" s="54" t="inlineStr">
        <is>
          <t>4 strict sets. Add 5 lb next exposure only when every set is clean and ≤RPE 8; deload load/reps, no failure.</t>
        </is>
      </c>
      <c r="J44" s="55" t="inlineStr"/>
      <c r="K44" s="55" t="inlineStr"/>
      <c r="L44" s="14" t="inlineStr">
        <is>
          <t>[ ]</t>
        </is>
      </c>
    </row>
    <row r="45" ht="22" customHeight="1">
      <c r="A45" s="32" t="n">
        <v>3</v>
      </c>
      <c r="B45" s="57" t="inlineStr">
        <is>
          <t>Reverse hyper</t>
        </is>
      </c>
      <c r="C45" s="32" t="inlineStr">
        <is>
          <t>Acc</t>
        </is>
      </c>
      <c r="D45" s="30" t="n">
        <v>2</v>
      </c>
      <c r="E45" s="30" t="inlineStr">
        <is>
          <t>12</t>
        </is>
      </c>
      <c r="F45" s="30" t="inlineStr"/>
      <c r="G45" s="32" t="inlineStr"/>
      <c r="H45" s="32" t="inlineStr"/>
      <c r="I45" s="56" t="inlineStr"/>
      <c r="J45" s="55" t="inlineStr"/>
      <c r="K45" s="55" t="inlineStr"/>
      <c r="L45" s="14" t="inlineStr">
        <is>
          <t>[ ]</t>
        </is>
      </c>
    </row>
    <row r="46" ht="22" customHeight="1">
      <c r="A46" s="32" t="n">
        <v>4</v>
      </c>
      <c r="B46" s="57" t="inlineStr">
        <is>
          <t>GHR or Nordic curl</t>
        </is>
      </c>
      <c r="C46" s="32" t="inlineStr">
        <is>
          <t>Acc</t>
        </is>
      </c>
      <c r="D46" s="30" t="n">
        <v>3</v>
      </c>
      <c r="E46" s="30" t="inlineStr">
        <is>
          <t>8</t>
        </is>
      </c>
      <c r="F46" s="30" t="inlineStr"/>
      <c r="G46" s="32" t="inlineStr"/>
      <c r="H46" s="32" t="inlineStr"/>
      <c r="I46" s="56" t="inlineStr"/>
      <c r="J46" s="55" t="inlineStr"/>
      <c r="K46" s="55" t="inlineStr"/>
      <c r="L46" s="14" t="inlineStr">
        <is>
          <t>[ ]</t>
        </is>
      </c>
    </row>
    <row r="47"/>
    <row r="48" ht="26" customHeight="1">
      <c r="A48" s="60" t="inlineStr">
        <is>
          <t>WEEK 7 — INTENSIFICATION</t>
        </is>
      </c>
    </row>
    <row r="49" ht="22" customHeight="1">
      <c r="A49" s="50" t="inlineStr">
        <is>
          <t>Day 1 : Monday — Squat</t>
        </is>
      </c>
    </row>
    <row r="50" ht="36" customHeight="1">
      <c r="A50" s="51" t="inlineStr">
        <is>
          <t>💡 Coaching Rationale: The top single moves to 92% of max, RPE 8 cap. Back-offs drop to doubles: 5x2 at 87%. This is where you start feeling real weight on the bar. Keep every rep crisp.</t>
        </is>
      </c>
    </row>
    <row r="51" ht="22" customHeight="1">
      <c r="A51" s="52" t="inlineStr">
        <is>
          <t>#</t>
        </is>
      </c>
      <c r="B51" s="52" t="inlineStr">
        <is>
          <t>Exercise</t>
        </is>
      </c>
      <c r="C51" s="52" t="inlineStr">
        <is>
          <t>Type</t>
        </is>
      </c>
      <c r="D51" s="52" t="inlineStr">
        <is>
          <t>Sets</t>
        </is>
      </c>
      <c r="E51" s="52" t="inlineStr">
        <is>
          <t>Reps</t>
        </is>
      </c>
      <c r="F51" s="52" t="inlineStr">
        <is>
          <t>% 1RM</t>
        </is>
      </c>
      <c r="G51" s="52" t="inlineStr">
        <is>
          <t>Prescribed (lbs)</t>
        </is>
      </c>
      <c r="H51" s="52" t="inlineStr">
        <is>
          <t>RPE</t>
        </is>
      </c>
      <c r="I51" s="52" t="inlineStr">
        <is>
          <t>Technique Notes</t>
        </is>
      </c>
      <c r="J51" s="52" t="inlineStr">
        <is>
          <t>Actual Wt</t>
        </is>
      </c>
      <c r="K51" s="52" t="inlineStr">
        <is>
          <t>Reps/Notes</t>
        </is>
      </c>
      <c r="L51" s="52" t="inlineStr">
        <is>
          <t>Done</t>
        </is>
      </c>
    </row>
    <row r="52" ht="22" customHeight="1">
      <c r="A52" s="32" t="n">
        <v>1</v>
      </c>
      <c r="B52" s="53" t="inlineStr">
        <is>
          <t>Squat — top single</t>
        </is>
      </c>
      <c r="C52" s="34" t="inlineStr">
        <is>
          <t>Main</t>
        </is>
      </c>
      <c r="D52" s="28" t="n">
        <v>1</v>
      </c>
      <c r="E52" s="28" t="inlineStr">
        <is>
          <t>1</t>
        </is>
      </c>
      <c r="F52" s="28" t="inlineStr">
        <is>
          <t>92%</t>
        </is>
      </c>
      <c r="G52" s="35">
        <f>ROUND('Setup &amp; Dashboard'!$C$7*0.92/5, 0)*5</f>
        <v/>
      </c>
      <c r="H52" s="28" t="inlineStr">
        <is>
          <t>@8 cap</t>
        </is>
      </c>
      <c r="I52" s="54" t="inlineStr">
        <is>
          <t>Smooth single, no grind</t>
        </is>
      </c>
      <c r="J52" s="55" t="inlineStr"/>
      <c r="K52" s="55" t="inlineStr"/>
      <c r="L52" s="14" t="inlineStr">
        <is>
          <t>[ ]</t>
        </is>
      </c>
    </row>
    <row r="53" ht="22" customHeight="1">
      <c r="A53" s="32" t="n">
        <v>2</v>
      </c>
      <c r="B53" s="53" t="inlineStr">
        <is>
          <t>Squat — back-off</t>
        </is>
      </c>
      <c r="C53" s="34" t="inlineStr">
        <is>
          <t>Main</t>
        </is>
      </c>
      <c r="D53" s="28" t="n">
        <v>5</v>
      </c>
      <c r="E53" s="28" t="inlineStr">
        <is>
          <t>2</t>
        </is>
      </c>
      <c r="F53" s="28" t="inlineStr">
        <is>
          <t>87%</t>
        </is>
      </c>
      <c r="G53" s="35">
        <f>ROUND('Setup &amp; Dashboard'!$C$7*0.87/5, 0)*5</f>
        <v/>
      </c>
      <c r="H53" s="28" t="inlineStr">
        <is>
          <t>@8</t>
        </is>
      </c>
      <c r="I53" s="56" t="inlineStr"/>
      <c r="J53" s="55" t="inlineStr"/>
      <c r="K53" s="55" t="inlineStr"/>
      <c r="L53" s="14" t="inlineStr">
        <is>
          <t>[ ]</t>
        </is>
      </c>
    </row>
    <row r="54" ht="22" customHeight="1">
      <c r="A54" s="32" t="n">
        <v>3</v>
      </c>
      <c r="B54" s="57" t="inlineStr">
        <is>
          <t>Split squat</t>
        </is>
      </c>
      <c r="C54" s="32" t="inlineStr">
        <is>
          <t>Acc</t>
        </is>
      </c>
      <c r="D54" s="30" t="n">
        <v>2</v>
      </c>
      <c r="E54" s="30" t="inlineStr">
        <is>
          <t>8/leg</t>
        </is>
      </c>
      <c r="F54" s="30" t="inlineStr"/>
      <c r="G54" s="32" t="inlineStr"/>
      <c r="H54" s="32" t="inlineStr"/>
      <c r="I54" s="56" t="inlineStr"/>
      <c r="J54" s="55" t="inlineStr"/>
      <c r="K54" s="55" t="inlineStr"/>
      <c r="L54" s="14" t="inlineStr">
        <is>
          <t>[ ]</t>
        </is>
      </c>
    </row>
    <row r="55" ht="22" customHeight="1">
      <c r="A55" s="32" t="n">
        <v>4</v>
      </c>
      <c r="B55" s="57" t="inlineStr">
        <is>
          <t>Leg curl</t>
        </is>
      </c>
      <c r="C55" s="32" t="inlineStr">
        <is>
          <t>Acc</t>
        </is>
      </c>
      <c r="D55" s="30" t="n">
        <v>3</v>
      </c>
      <c r="E55" s="30" t="inlineStr">
        <is>
          <t>10</t>
        </is>
      </c>
      <c r="F55" s="30" t="inlineStr"/>
      <c r="G55" s="32" t="inlineStr"/>
      <c r="H55" s="32" t="inlineStr"/>
      <c r="I55" s="56" t="inlineStr"/>
      <c r="J55" s="55" t="inlineStr"/>
      <c r="K55" s="55" t="inlineStr"/>
      <c r="L55" s="14" t="inlineStr">
        <is>
          <t>[ ]</t>
        </is>
      </c>
    </row>
    <row r="56" ht="22" customHeight="1">
      <c r="A56" s="32" t="n">
        <v>5</v>
      </c>
      <c r="B56" s="57" t="inlineStr">
        <is>
          <t>Copenhagen plank</t>
        </is>
      </c>
      <c r="C56" s="32" t="inlineStr">
        <is>
          <t>Acc</t>
        </is>
      </c>
      <c r="D56" s="30" t="n">
        <v>3</v>
      </c>
      <c r="E56" s="30" t="inlineStr">
        <is>
          <t>20sec/side</t>
        </is>
      </c>
      <c r="F56" s="30" t="inlineStr"/>
      <c r="G56" s="32" t="inlineStr"/>
      <c r="H56" s="32" t="inlineStr"/>
      <c r="I56" s="56" t="inlineStr"/>
      <c r="J56" s="55" t="inlineStr"/>
      <c r="K56" s="55" t="inlineStr"/>
      <c r="L56" s="14" t="inlineStr">
        <is>
          <t>[ ]</t>
        </is>
      </c>
    </row>
    <row r="57"/>
    <row r="58" ht="22" customHeight="1">
      <c r="A58" s="50" t="inlineStr">
        <is>
          <t>Day 2 : Tuesday — Bench</t>
        </is>
      </c>
    </row>
    <row r="59" ht="36" customHeight="1">
      <c r="A59" s="51" t="inlineStr">
        <is>
          <t>💡 Coaching Rationale: Bench is 8x2 at 87% of max. Bench handles more sets at heavy weight than squat or deadlift, so it gets the most doubles.</t>
        </is>
      </c>
    </row>
    <row r="60" ht="22" customHeight="1">
      <c r="A60" s="52" t="inlineStr">
        <is>
          <t>#</t>
        </is>
      </c>
      <c r="B60" s="52" t="inlineStr">
        <is>
          <t>Exercise</t>
        </is>
      </c>
      <c r="C60" s="52" t="inlineStr">
        <is>
          <t>Type</t>
        </is>
      </c>
      <c r="D60" s="52" t="inlineStr">
        <is>
          <t>Sets</t>
        </is>
      </c>
      <c r="E60" s="52" t="inlineStr">
        <is>
          <t>Reps</t>
        </is>
      </c>
      <c r="F60" s="52" t="inlineStr">
        <is>
          <t>% 1RM</t>
        </is>
      </c>
      <c r="G60" s="52" t="inlineStr">
        <is>
          <t>Prescribed (lbs)</t>
        </is>
      </c>
      <c r="H60" s="52" t="inlineStr">
        <is>
          <t>RPE</t>
        </is>
      </c>
      <c r="I60" s="52" t="inlineStr">
        <is>
          <t>Technique Notes</t>
        </is>
      </c>
      <c r="J60" s="52" t="inlineStr">
        <is>
          <t>Actual Wt</t>
        </is>
      </c>
      <c r="K60" s="52" t="inlineStr">
        <is>
          <t>Reps/Notes</t>
        </is>
      </c>
      <c r="L60" s="52" t="inlineStr">
        <is>
          <t>Done</t>
        </is>
      </c>
    </row>
    <row r="61" ht="22" customHeight="1">
      <c r="A61" s="32" t="n">
        <v>1</v>
      </c>
      <c r="B61" s="53" t="inlineStr">
        <is>
          <t>Bench</t>
        </is>
      </c>
      <c r="C61" s="34" t="inlineStr">
        <is>
          <t>Main</t>
        </is>
      </c>
      <c r="D61" s="28" t="n">
        <v>8</v>
      </c>
      <c r="E61" s="28" t="inlineStr">
        <is>
          <t>2</t>
        </is>
      </c>
      <c r="F61" s="28" t="inlineStr">
        <is>
          <t>87%</t>
        </is>
      </c>
      <c r="G61" s="35">
        <f>ROUND('Setup &amp; Dashboard'!$C$8*0.87/5, 0)*5</f>
        <v/>
      </c>
      <c r="H61" s="28" t="inlineStr">
        <is>
          <t>@8</t>
        </is>
      </c>
      <c r="I61" s="56" t="inlineStr"/>
      <c r="J61" s="55" t="inlineStr"/>
      <c r="K61" s="55" t="inlineStr"/>
      <c r="L61" s="14" t="inlineStr">
        <is>
          <t>[ ]</t>
        </is>
      </c>
    </row>
    <row r="62" ht="22" customHeight="1">
      <c r="A62" s="32" t="n">
        <v>2</v>
      </c>
      <c r="B62" s="57" t="inlineStr">
        <is>
          <t>Close-grip bench</t>
        </is>
      </c>
      <c r="C62" s="32" t="inlineStr">
        <is>
          <t>Acc</t>
        </is>
      </c>
      <c r="D62" s="30" t="n">
        <v>3</v>
      </c>
      <c r="E62" s="30" t="inlineStr">
        <is>
          <t>4-5</t>
        </is>
      </c>
      <c r="F62" s="30" t="inlineStr"/>
      <c r="G62" s="32" t="inlineStr"/>
      <c r="H62" s="32" t="inlineStr"/>
      <c r="I62" s="56" t="inlineStr"/>
      <c r="J62" s="55" t="inlineStr"/>
      <c r="K62" s="55" t="inlineStr"/>
      <c r="L62" s="14" t="inlineStr">
        <is>
          <t>[ ]</t>
        </is>
      </c>
    </row>
    <row r="63" ht="22" customHeight="1">
      <c r="A63" s="32" t="n">
        <v>3</v>
      </c>
      <c r="B63" s="57" t="inlineStr">
        <is>
          <t>Incline DB press</t>
        </is>
      </c>
      <c r="C63" s="32" t="inlineStr">
        <is>
          <t>Acc</t>
        </is>
      </c>
      <c r="D63" s="30" t="n">
        <v>3</v>
      </c>
      <c r="E63" s="30" t="inlineStr">
        <is>
          <t>8</t>
        </is>
      </c>
      <c r="F63" s="30" t="inlineStr"/>
      <c r="G63" s="32" t="inlineStr"/>
      <c r="H63" s="32" t="inlineStr"/>
      <c r="I63" s="56" t="inlineStr"/>
      <c r="J63" s="55" t="inlineStr"/>
      <c r="K63" s="55" t="inlineStr"/>
      <c r="L63" s="14" t="inlineStr">
        <is>
          <t>[ ]</t>
        </is>
      </c>
    </row>
    <row r="64" ht="22" customHeight="1">
      <c r="A64" s="32" t="n">
        <v>4</v>
      </c>
      <c r="B64" s="57" t="inlineStr">
        <is>
          <t>Triceps pressdown</t>
        </is>
      </c>
      <c r="C64" s="32" t="inlineStr">
        <is>
          <t>Acc</t>
        </is>
      </c>
      <c r="D64" s="30" t="n">
        <v>3</v>
      </c>
      <c r="E64" s="30" t="inlineStr">
        <is>
          <t>12</t>
        </is>
      </c>
      <c r="F64" s="30" t="inlineStr"/>
      <c r="G64" s="32" t="inlineStr"/>
      <c r="H64" s="32" t="inlineStr"/>
      <c r="I64" s="56" t="inlineStr"/>
      <c r="J64" s="55" t="inlineStr"/>
      <c r="K64" s="55" t="inlineStr"/>
      <c r="L64" s="14" t="inlineStr">
        <is>
          <t>[ ]</t>
        </is>
      </c>
    </row>
    <row r="65" ht="22" customHeight="1">
      <c r="A65" s="32" t="n">
        <v>5</v>
      </c>
      <c r="B65" s="57" t="inlineStr">
        <is>
          <t>Face pull</t>
        </is>
      </c>
      <c r="C65" s="32" t="inlineStr">
        <is>
          <t>Acc</t>
        </is>
      </c>
      <c r="D65" s="30" t="n">
        <v>3</v>
      </c>
      <c r="E65" s="30" t="inlineStr">
        <is>
          <t>15</t>
        </is>
      </c>
      <c r="F65" s="30" t="inlineStr"/>
      <c r="G65" s="32" t="inlineStr"/>
      <c r="H65" s="32" t="inlineStr"/>
      <c r="I65" s="56" t="inlineStr"/>
      <c r="J65" s="55" t="inlineStr"/>
      <c r="K65" s="55" t="inlineStr"/>
      <c r="L65" s="14" t="inlineStr">
        <is>
          <t>[ ]</t>
        </is>
      </c>
    </row>
    <row r="66"/>
    <row r="67" ht="22" customHeight="1">
      <c r="A67" s="50" t="inlineStr">
        <is>
          <t>Day 3 : Thursday — Deadlift</t>
        </is>
      </c>
    </row>
    <row r="68" ht="36" customHeight="1">
      <c r="A68" s="51" t="inlineStr">
        <is>
          <t>💡 Coaching Rationale: Deadlift is 4x2 at 86%. The 1.5-rep deadlift is now base + 30 lb, so watch the RPE 7 rule closely as the main lift gets heavy.</t>
        </is>
      </c>
    </row>
    <row r="69" ht="22" customHeight="1">
      <c r="A69" s="52" t="inlineStr">
        <is>
          <t>#</t>
        </is>
      </c>
      <c r="B69" s="52" t="inlineStr">
        <is>
          <t>Exercise</t>
        </is>
      </c>
      <c r="C69" s="52" t="inlineStr">
        <is>
          <t>Type</t>
        </is>
      </c>
      <c r="D69" s="52" t="inlineStr">
        <is>
          <t>Sets</t>
        </is>
      </c>
      <c r="E69" s="52" t="inlineStr">
        <is>
          <t>Reps</t>
        </is>
      </c>
      <c r="F69" s="52" t="inlineStr">
        <is>
          <t>% 1RM</t>
        </is>
      </c>
      <c r="G69" s="52" t="inlineStr">
        <is>
          <t>Prescribed (lbs)</t>
        </is>
      </c>
      <c r="H69" s="52" t="inlineStr">
        <is>
          <t>RPE</t>
        </is>
      </c>
      <c r="I69" s="52" t="inlineStr">
        <is>
          <t>Technique Notes</t>
        </is>
      </c>
      <c r="J69" s="52" t="inlineStr">
        <is>
          <t>Actual Wt</t>
        </is>
      </c>
      <c r="K69" s="52" t="inlineStr">
        <is>
          <t>Reps/Notes</t>
        </is>
      </c>
      <c r="L69" s="52" t="inlineStr">
        <is>
          <t>Done</t>
        </is>
      </c>
    </row>
    <row r="70" ht="22" customHeight="1">
      <c r="A70" s="32" t="n">
        <v>1</v>
      </c>
      <c r="B70" s="53" t="inlineStr">
        <is>
          <t>Deadlift</t>
        </is>
      </c>
      <c r="C70" s="34" t="inlineStr">
        <is>
          <t>Main</t>
        </is>
      </c>
      <c r="D70" s="28" t="n">
        <v>4</v>
      </c>
      <c r="E70" s="28" t="inlineStr">
        <is>
          <t>2</t>
        </is>
      </c>
      <c r="F70" s="28" t="inlineStr">
        <is>
          <t>86%</t>
        </is>
      </c>
      <c r="G70" s="35">
        <f>ROUND('Setup &amp; Dashboard'!$C$9*0.86/5, 0)*5</f>
        <v/>
      </c>
      <c r="H70" s="28" t="inlineStr">
        <is>
          <t>@8</t>
        </is>
      </c>
      <c r="I70" s="56" t="inlineStr"/>
      <c r="J70" s="55" t="inlineStr"/>
      <c r="K70" s="55" t="inlineStr"/>
      <c r="L70" s="14" t="inlineStr">
        <is>
          <t>[ ]</t>
        </is>
      </c>
    </row>
    <row r="71" ht="22" customHeight="1">
      <c r="A71" s="32" t="n">
        <v>2</v>
      </c>
      <c r="B71" s="53" t="inlineStr">
        <is>
          <t>1.5-rep deadlift (knee height)</t>
        </is>
      </c>
      <c r="C71" s="34" t="inlineStr">
        <is>
          <t>Main</t>
        </is>
      </c>
      <c r="D71" s="28" t="n">
        <v>3</v>
      </c>
      <c r="E71" s="28" t="inlineStr">
        <is>
          <t>3</t>
        </is>
      </c>
      <c r="F71" s="28" t="inlineStr">
        <is>
          <t xml:space="preserve">60% +30# </t>
        </is>
      </c>
      <c r="G71" s="35">
        <f>ROUND('Setup &amp; Dashboard'!$C$9*0.6/5, 0)*5+30</f>
        <v/>
      </c>
      <c r="H71" s="32" t="inlineStr"/>
      <c r="I71" s="54" t="inlineStr">
        <is>
          <t>Reset every rep; lower to just below knee, return to lockout, then lower fully. W1 60% DL max; add +5 lb/week only if clean and ≤RPE 7. Deload: 2x3 @55% max.</t>
        </is>
      </c>
      <c r="J71" s="55" t="inlineStr"/>
      <c r="K71" s="55" t="inlineStr"/>
      <c r="L71" s="14" t="inlineStr">
        <is>
          <t>[ ]</t>
        </is>
      </c>
    </row>
    <row r="72" ht="22" customHeight="1">
      <c r="A72" s="32" t="n">
        <v>3</v>
      </c>
      <c r="B72" s="57" t="inlineStr">
        <is>
          <t>Reverse hyper</t>
        </is>
      </c>
      <c r="C72" s="32" t="inlineStr">
        <is>
          <t>Acc</t>
        </is>
      </c>
      <c r="D72" s="30" t="n">
        <v>2</v>
      </c>
      <c r="E72" s="30" t="inlineStr">
        <is>
          <t>10-12</t>
        </is>
      </c>
      <c r="F72" s="30" t="inlineStr"/>
      <c r="G72" s="32" t="inlineStr"/>
      <c r="H72" s="32" t="inlineStr"/>
      <c r="I72" s="56" t="inlineStr"/>
      <c r="J72" s="55" t="inlineStr"/>
      <c r="K72" s="55" t="inlineStr"/>
      <c r="L72" s="14" t="inlineStr">
        <is>
          <t>[ ]</t>
        </is>
      </c>
    </row>
    <row r="73" ht="22" customHeight="1">
      <c r="A73" s="32" t="n">
        <v>4</v>
      </c>
      <c r="B73" s="57" t="inlineStr">
        <is>
          <t>Jefferson curl</t>
        </is>
      </c>
      <c r="C73" s="32" t="inlineStr">
        <is>
          <t>Acc</t>
        </is>
      </c>
      <c r="D73" s="30" t="n">
        <v>2</v>
      </c>
      <c r="E73" s="30" t="inlineStr">
        <is>
          <t>6-8</t>
        </is>
      </c>
      <c r="F73" s="30" t="inlineStr"/>
      <c r="G73" s="32" t="inlineStr"/>
      <c r="H73" s="32" t="inlineStr"/>
      <c r="I73" s="56" t="inlineStr"/>
      <c r="J73" s="55" t="inlineStr"/>
      <c r="K73" s="55" t="inlineStr"/>
      <c r="L73" s="14" t="inlineStr">
        <is>
          <t>[ ]</t>
        </is>
      </c>
    </row>
    <row r="74"/>
    <row r="75" ht="22" customHeight="1">
      <c r="A75" s="50" t="inlineStr">
        <is>
          <t>Day 4 : Friday — Bench variant / upper body</t>
        </is>
      </c>
    </row>
    <row r="76" ht="36" customHeight="1">
      <c r="A76" s="51" t="inlineStr">
        <is>
          <t>💡 Coaching Rationale: Tempo bench at 65% returns as the lighter bench movement. This day's purpose hasn't changed: practice technique without adding to the week's fatigue.</t>
        </is>
      </c>
    </row>
    <row r="77" ht="22" customHeight="1">
      <c r="A77" s="52" t="inlineStr">
        <is>
          <t>#</t>
        </is>
      </c>
      <c r="B77" s="52" t="inlineStr">
        <is>
          <t>Exercise</t>
        </is>
      </c>
      <c r="C77" s="52" t="inlineStr">
        <is>
          <t>Type</t>
        </is>
      </c>
      <c r="D77" s="52" t="inlineStr">
        <is>
          <t>Sets</t>
        </is>
      </c>
      <c r="E77" s="52" t="inlineStr">
        <is>
          <t>Reps</t>
        </is>
      </c>
      <c r="F77" s="52" t="inlineStr">
        <is>
          <t>% 1RM</t>
        </is>
      </c>
      <c r="G77" s="52" t="inlineStr">
        <is>
          <t>Prescribed (lbs)</t>
        </is>
      </c>
      <c r="H77" s="52" t="inlineStr">
        <is>
          <t>RPE</t>
        </is>
      </c>
      <c r="I77" s="52" t="inlineStr">
        <is>
          <t>Technique Notes</t>
        </is>
      </c>
      <c r="J77" s="52" t="inlineStr">
        <is>
          <t>Actual Wt</t>
        </is>
      </c>
      <c r="K77" s="52" t="inlineStr">
        <is>
          <t>Reps/Notes</t>
        </is>
      </c>
      <c r="L77" s="52" t="inlineStr">
        <is>
          <t>Done</t>
        </is>
      </c>
    </row>
    <row r="78" ht="22" customHeight="1">
      <c r="A78" s="32" t="n">
        <v>1</v>
      </c>
      <c r="B78" s="53" t="inlineStr">
        <is>
          <t>Tempo bench</t>
        </is>
      </c>
      <c r="C78" s="34" t="inlineStr">
        <is>
          <t>Main</t>
        </is>
      </c>
      <c r="D78" s="28" t="n">
        <v>3</v>
      </c>
      <c r="E78" s="28" t="inlineStr">
        <is>
          <t>3</t>
        </is>
      </c>
      <c r="F78" s="28" t="inlineStr">
        <is>
          <t>65%</t>
        </is>
      </c>
      <c r="G78" s="35">
        <f>ROUND('Setup &amp; Dashboard'!$C$8*0.65/5, 0)*5</f>
        <v/>
      </c>
      <c r="H78" s="28" t="inlineStr">
        <is>
          <t>@7</t>
        </is>
      </c>
      <c r="I78" s="56" t="inlineStr"/>
      <c r="J78" s="55" t="inlineStr"/>
      <c r="K78" s="55" t="inlineStr"/>
      <c r="L78" s="14" t="inlineStr">
        <is>
          <t>[ ]</t>
        </is>
      </c>
    </row>
    <row r="79" ht="22" customHeight="1">
      <c r="A79" s="32" t="n">
        <v>2</v>
      </c>
      <c r="B79" s="57" t="inlineStr">
        <is>
          <t>Lat pulldown</t>
        </is>
      </c>
      <c r="C79" s="32" t="inlineStr">
        <is>
          <t>Acc</t>
        </is>
      </c>
      <c r="D79" s="30" t="n">
        <v>3</v>
      </c>
      <c r="E79" s="30" t="inlineStr">
        <is>
          <t>10</t>
        </is>
      </c>
      <c r="F79" s="30" t="inlineStr"/>
      <c r="G79" s="32" t="inlineStr"/>
      <c r="H79" s="32" t="inlineStr"/>
      <c r="I79" s="56" t="inlineStr"/>
      <c r="J79" s="55" t="inlineStr"/>
      <c r="K79" s="55" t="inlineStr"/>
      <c r="L79" s="14" t="inlineStr">
        <is>
          <t>[ ]</t>
        </is>
      </c>
    </row>
    <row r="80" ht="22" customHeight="1">
      <c r="A80" s="32" t="n">
        <v>3</v>
      </c>
      <c r="B80" s="57" t="inlineStr">
        <is>
          <t>Lateral raise</t>
        </is>
      </c>
      <c r="C80" s="32" t="inlineStr">
        <is>
          <t>Acc</t>
        </is>
      </c>
      <c r="D80" s="30" t="n">
        <v>3</v>
      </c>
      <c r="E80" s="30" t="inlineStr">
        <is>
          <t>15</t>
        </is>
      </c>
      <c r="F80" s="30" t="inlineStr"/>
      <c r="G80" s="32" t="inlineStr"/>
      <c r="H80" s="32" t="inlineStr"/>
      <c r="I80" s="56" t="inlineStr"/>
      <c r="J80" s="55" t="inlineStr"/>
      <c r="K80" s="55" t="inlineStr"/>
      <c r="L80" s="14" t="inlineStr">
        <is>
          <t>[ ]</t>
        </is>
      </c>
    </row>
    <row r="81" ht="22" customHeight="1">
      <c r="A81" s="32" t="n">
        <v>4</v>
      </c>
      <c r="B81" s="57" t="inlineStr">
        <is>
          <t>Curl</t>
        </is>
      </c>
      <c r="C81" s="32" t="inlineStr">
        <is>
          <t>Acc</t>
        </is>
      </c>
      <c r="D81" s="30" t="n">
        <v>3</v>
      </c>
      <c r="E81" s="30" t="inlineStr">
        <is>
          <t>10</t>
        </is>
      </c>
      <c r="F81" s="30" t="inlineStr"/>
      <c r="G81" s="32" t="inlineStr"/>
      <c r="H81" s="32" t="inlineStr"/>
      <c r="I81" s="56" t="inlineStr"/>
      <c r="J81" s="55" t="inlineStr"/>
      <c r="K81" s="55" t="inlineStr"/>
      <c r="L81" s="14" t="inlineStr">
        <is>
          <t>[ ]</t>
        </is>
      </c>
    </row>
    <row r="82" ht="22" customHeight="1">
      <c r="A82" s="32" t="n">
        <v>5</v>
      </c>
      <c r="B82" s="57" t="inlineStr">
        <is>
          <t>Pallof press</t>
        </is>
      </c>
      <c r="C82" s="32" t="inlineStr">
        <is>
          <t>Acc</t>
        </is>
      </c>
      <c r="D82" s="30" t="n">
        <v>3</v>
      </c>
      <c r="E82" s="30" t="inlineStr">
        <is>
          <t>10/side</t>
        </is>
      </c>
      <c r="F82" s="30" t="inlineStr"/>
      <c r="G82" s="32" t="inlineStr"/>
      <c r="H82" s="32" t="inlineStr"/>
      <c r="I82" s="56" t="inlineStr"/>
      <c r="J82" s="55" t="inlineStr"/>
      <c r="K82" s="55" t="inlineStr"/>
      <c r="L82" s="14" t="inlineStr">
        <is>
          <t>[ ]</t>
        </is>
      </c>
    </row>
    <row r="83"/>
    <row r="84" ht="22" customHeight="1">
      <c r="A84" s="50" t="inlineStr">
        <is>
          <t>Day 5 : Saturday — Squat variant + Bent-over row</t>
        </is>
      </c>
    </row>
    <row r="85" ht="54" customHeight="1">
      <c r="A85" s="51" t="inlineStr">
        <is>
          <t>💡 Coaching Rationale: The secondary squat switches to high-bar squat starting at 75% of max for 3x3. High-bar puts more load on the quads with a more upright torso, building a different part of the squat than Monday's work. It adds 5 lb per week from here.</t>
        </is>
      </c>
    </row>
    <row r="86" ht="22" customHeight="1">
      <c r="A86" s="52" t="inlineStr">
        <is>
          <t>#</t>
        </is>
      </c>
      <c r="B86" s="52" t="inlineStr">
        <is>
          <t>Exercise</t>
        </is>
      </c>
      <c r="C86" s="52" t="inlineStr">
        <is>
          <t>Type</t>
        </is>
      </c>
      <c r="D86" s="52" t="inlineStr">
        <is>
          <t>Sets</t>
        </is>
      </c>
      <c r="E86" s="52" t="inlineStr">
        <is>
          <t>Reps</t>
        </is>
      </c>
      <c r="F86" s="52" t="inlineStr">
        <is>
          <t>% 1RM</t>
        </is>
      </c>
      <c r="G86" s="52" t="inlineStr">
        <is>
          <t>Prescribed (lbs)</t>
        </is>
      </c>
      <c r="H86" s="52" t="inlineStr">
        <is>
          <t>RPE</t>
        </is>
      </c>
      <c r="I86" s="52" t="inlineStr">
        <is>
          <t>Technique Notes</t>
        </is>
      </c>
      <c r="J86" s="52" t="inlineStr">
        <is>
          <t>Actual Wt</t>
        </is>
      </c>
      <c r="K86" s="52" t="inlineStr">
        <is>
          <t>Reps/Notes</t>
        </is>
      </c>
      <c r="L86" s="52" t="inlineStr">
        <is>
          <t>Done</t>
        </is>
      </c>
    </row>
    <row r="87" ht="22" customHeight="1">
      <c r="A87" s="32" t="n">
        <v>1</v>
      </c>
      <c r="B87" s="53" t="inlineStr">
        <is>
          <t>High-bar squat</t>
        </is>
      </c>
      <c r="C87" s="34" t="inlineStr">
        <is>
          <t>Main</t>
        </is>
      </c>
      <c r="D87" s="28" t="n">
        <v>3</v>
      </c>
      <c r="E87" s="28" t="inlineStr">
        <is>
          <t>3</t>
        </is>
      </c>
      <c r="F87" s="28" t="inlineStr">
        <is>
          <t>75%</t>
        </is>
      </c>
      <c r="G87" s="35">
        <f>ROUND('Setup &amp; Dashboard'!$C$7*0.75/5, 0)*5</f>
        <v/>
      </c>
      <c r="H87" s="28" t="inlineStr">
        <is>
          <t>@≤8</t>
        </is>
      </c>
      <c r="I87" s="54" t="inlineStr">
        <is>
          <t>Clean reps; no grinding</t>
        </is>
      </c>
      <c r="J87" s="55" t="inlineStr"/>
      <c r="K87" s="55" t="inlineStr"/>
      <c r="L87" s="14" t="inlineStr">
        <is>
          <t>[ ]</t>
        </is>
      </c>
    </row>
    <row r="88" ht="22" customHeight="1">
      <c r="A88" s="32" t="n">
        <v>2</v>
      </c>
      <c r="B88" s="57" t="inlineStr">
        <is>
          <t>Bent-over row</t>
        </is>
      </c>
      <c r="C88" s="32" t="inlineStr">
        <is>
          <t>Acc</t>
        </is>
      </c>
      <c r="D88" s="30" t="n">
        <v>4</v>
      </c>
      <c r="E88" s="30" t="inlineStr">
        <is>
          <t>4-6</t>
        </is>
      </c>
      <c r="F88" s="30" t="inlineStr">
        <is>
          <t>Row +5#</t>
        </is>
      </c>
      <c r="G88" s="35">
        <f>'Setup &amp; Dashboard'!$C$10+(7-1)*5</f>
        <v/>
      </c>
      <c r="H88" s="32" t="inlineStr"/>
      <c r="I88" s="54" t="inlineStr">
        <is>
          <t>4 strict sets. Add 5 lb next exposure only when every set is clean and ≤RPE 8; deload load/reps, no failure.</t>
        </is>
      </c>
      <c r="J88" s="55" t="inlineStr"/>
      <c r="K88" s="55" t="inlineStr"/>
      <c r="L88" s="14" t="inlineStr">
        <is>
          <t>[ ]</t>
        </is>
      </c>
    </row>
    <row r="89" ht="22" customHeight="1">
      <c r="A89" s="32" t="n">
        <v>3</v>
      </c>
      <c r="B89" s="57" t="inlineStr">
        <is>
          <t>Reverse hyper</t>
        </is>
      </c>
      <c r="C89" s="32" t="inlineStr">
        <is>
          <t>Acc</t>
        </is>
      </c>
      <c r="D89" s="30" t="n">
        <v>2</v>
      </c>
      <c r="E89" s="30" t="inlineStr">
        <is>
          <t>10-12</t>
        </is>
      </c>
      <c r="F89" s="30" t="inlineStr"/>
      <c r="G89" s="32" t="inlineStr"/>
      <c r="H89" s="32" t="inlineStr"/>
      <c r="I89" s="56" t="inlineStr"/>
      <c r="J89" s="55" t="inlineStr"/>
      <c r="K89" s="55" t="inlineStr"/>
      <c r="L89" s="14" t="inlineStr">
        <is>
          <t>[ ]</t>
        </is>
      </c>
    </row>
    <row r="90" ht="22" customHeight="1">
      <c r="A90" s="32" t="n">
        <v>4</v>
      </c>
      <c r="B90" s="57" t="inlineStr">
        <is>
          <t>GHR or Nordic curl</t>
        </is>
      </c>
      <c r="C90" s="32" t="inlineStr">
        <is>
          <t>Acc</t>
        </is>
      </c>
      <c r="D90" s="30" t="n">
        <v>3</v>
      </c>
      <c r="E90" s="30" t="inlineStr">
        <is>
          <t>8</t>
        </is>
      </c>
      <c r="F90" s="30" t="inlineStr"/>
      <c r="G90" s="32" t="inlineStr"/>
      <c r="H90" s="32" t="inlineStr"/>
      <c r="I90" s="56" t="inlineStr"/>
      <c r="J90" s="55" t="inlineStr"/>
      <c r="K90" s="55" t="inlineStr"/>
      <c r="L90" s="14" t="inlineStr">
        <is>
          <t>[ ]</t>
        </is>
      </c>
    </row>
    <row r="91"/>
    <row r="92" ht="26" customHeight="1">
      <c r="A92" s="60" t="inlineStr">
        <is>
          <t>WEEK 8 — INTENSIFICATION</t>
        </is>
      </c>
    </row>
    <row r="93" ht="22" customHeight="1">
      <c r="A93" s="50" t="inlineStr">
        <is>
          <t>Day 1 : Monday — Squat</t>
        </is>
      </c>
    </row>
    <row r="94" ht="36" customHeight="1">
      <c r="A94" s="51" t="inlineStr">
        <is>
          <t>💡 Coaching Rationale: The top single stays at 92% of max, but the back-offs drop to 3x2 at 87%, capped at RPE 8. As the weight gets heavy, rep quality matters more than total reps.</t>
        </is>
      </c>
    </row>
    <row r="95" ht="22" customHeight="1">
      <c r="A95" s="52" t="inlineStr">
        <is>
          <t>#</t>
        </is>
      </c>
      <c r="B95" s="52" t="inlineStr">
        <is>
          <t>Exercise</t>
        </is>
      </c>
      <c r="C95" s="52" t="inlineStr">
        <is>
          <t>Type</t>
        </is>
      </c>
      <c r="D95" s="52" t="inlineStr">
        <is>
          <t>Sets</t>
        </is>
      </c>
      <c r="E95" s="52" t="inlineStr">
        <is>
          <t>Reps</t>
        </is>
      </c>
      <c r="F95" s="52" t="inlineStr">
        <is>
          <t>% 1RM</t>
        </is>
      </c>
      <c r="G95" s="52" t="inlineStr">
        <is>
          <t>Prescribed (lbs)</t>
        </is>
      </c>
      <c r="H95" s="52" t="inlineStr">
        <is>
          <t>RPE</t>
        </is>
      </c>
      <c r="I95" s="52" t="inlineStr">
        <is>
          <t>Technique Notes</t>
        </is>
      </c>
      <c r="J95" s="52" t="inlineStr">
        <is>
          <t>Actual Wt</t>
        </is>
      </c>
      <c r="K95" s="52" t="inlineStr">
        <is>
          <t>Reps/Notes</t>
        </is>
      </c>
      <c r="L95" s="52" t="inlineStr">
        <is>
          <t>Done</t>
        </is>
      </c>
    </row>
    <row r="96" ht="22" customHeight="1">
      <c r="A96" s="32" t="n">
        <v>1</v>
      </c>
      <c r="B96" s="53" t="inlineStr">
        <is>
          <t>Squat — top single</t>
        </is>
      </c>
      <c r="C96" s="34" t="inlineStr">
        <is>
          <t>Main</t>
        </is>
      </c>
      <c r="D96" s="28" t="n">
        <v>1</v>
      </c>
      <c r="E96" s="28" t="inlineStr">
        <is>
          <t>1</t>
        </is>
      </c>
      <c r="F96" s="28" t="inlineStr">
        <is>
          <t>92%</t>
        </is>
      </c>
      <c r="G96" s="35">
        <f>ROUND('Setup &amp; Dashboard'!$C$7*0.92/5, 0)*5</f>
        <v/>
      </c>
      <c r="H96" s="28" t="inlineStr">
        <is>
          <t>@8 cap</t>
        </is>
      </c>
      <c r="I96" s="54" t="inlineStr">
        <is>
          <t>Smooth single, no grind</t>
        </is>
      </c>
      <c r="J96" s="55" t="inlineStr"/>
      <c r="K96" s="55" t="inlineStr"/>
      <c r="L96" s="14" t="inlineStr">
        <is>
          <t>[ ]</t>
        </is>
      </c>
    </row>
    <row r="97" ht="22" customHeight="1">
      <c r="A97" s="32" t="n">
        <v>2</v>
      </c>
      <c r="B97" s="53" t="inlineStr">
        <is>
          <t>Squat — back-off</t>
        </is>
      </c>
      <c r="C97" s="34" t="inlineStr">
        <is>
          <t>Main</t>
        </is>
      </c>
      <c r="D97" s="28" t="n">
        <v>3</v>
      </c>
      <c r="E97" s="28" t="inlineStr">
        <is>
          <t>2</t>
        </is>
      </c>
      <c r="F97" s="28" t="inlineStr">
        <is>
          <t>87%</t>
        </is>
      </c>
      <c r="G97" s="35">
        <f>ROUND('Setup &amp; Dashboard'!$C$7*0.87/5, 0)*5</f>
        <v/>
      </c>
      <c r="H97" s="28" t="inlineStr">
        <is>
          <t>@8 cap</t>
        </is>
      </c>
      <c r="I97" s="56" t="inlineStr"/>
      <c r="J97" s="55" t="inlineStr"/>
      <c r="K97" s="55" t="inlineStr"/>
      <c r="L97" s="14" t="inlineStr">
        <is>
          <t>[ ]</t>
        </is>
      </c>
    </row>
    <row r="98" ht="22" customHeight="1">
      <c r="A98" s="32" t="n">
        <v>3</v>
      </c>
      <c r="B98" s="57" t="inlineStr">
        <is>
          <t>Split squat</t>
        </is>
      </c>
      <c r="C98" s="32" t="inlineStr">
        <is>
          <t>Acc</t>
        </is>
      </c>
      <c r="D98" s="30" t="n">
        <v>2</v>
      </c>
      <c r="E98" s="30" t="inlineStr">
        <is>
          <t>8/leg</t>
        </is>
      </c>
      <c r="F98" s="30" t="inlineStr"/>
      <c r="G98" s="32" t="inlineStr"/>
      <c r="H98" s="32" t="inlineStr"/>
      <c r="I98" s="56" t="inlineStr"/>
      <c r="J98" s="55" t="inlineStr"/>
      <c r="K98" s="55" t="inlineStr"/>
      <c r="L98" s="14" t="inlineStr">
        <is>
          <t>[ ]</t>
        </is>
      </c>
    </row>
    <row r="99" ht="22" customHeight="1">
      <c r="A99" s="32" t="n">
        <v>4</v>
      </c>
      <c r="B99" s="57" t="inlineStr">
        <is>
          <t>Leg curl</t>
        </is>
      </c>
      <c r="C99" s="32" t="inlineStr">
        <is>
          <t>Acc</t>
        </is>
      </c>
      <c r="D99" s="30" t="n">
        <v>2</v>
      </c>
      <c r="E99" s="30" t="inlineStr">
        <is>
          <t>10</t>
        </is>
      </c>
      <c r="F99" s="30" t="inlineStr"/>
      <c r="G99" s="32" t="inlineStr"/>
      <c r="H99" s="32" t="inlineStr"/>
      <c r="I99" s="56" t="inlineStr"/>
      <c r="J99" s="55" t="inlineStr"/>
      <c r="K99" s="55" t="inlineStr"/>
      <c r="L99" s="14" t="inlineStr">
        <is>
          <t>[ ]</t>
        </is>
      </c>
    </row>
    <row r="100" ht="22" customHeight="1">
      <c r="A100" s="32" t="n">
        <v>5</v>
      </c>
      <c r="B100" s="57" t="inlineStr">
        <is>
          <t>Copenhagen plank</t>
        </is>
      </c>
      <c r="C100" s="32" t="inlineStr">
        <is>
          <t>Acc</t>
        </is>
      </c>
      <c r="D100" s="30" t="n">
        <v>3</v>
      </c>
      <c r="E100" s="30" t="inlineStr">
        <is>
          <t>15-20sec/side</t>
        </is>
      </c>
      <c r="F100" s="30" t="inlineStr"/>
      <c r="G100" s="32" t="inlineStr"/>
      <c r="H100" s="32" t="inlineStr"/>
      <c r="I100" s="56" t="inlineStr"/>
      <c r="J100" s="55" t="inlineStr"/>
      <c r="K100" s="55" t="inlineStr"/>
      <c r="L100" s="14" t="inlineStr">
        <is>
          <t>[ ]</t>
        </is>
      </c>
    </row>
    <row r="101"/>
    <row r="102" ht="22" customHeight="1">
      <c r="A102" s="50" t="inlineStr">
        <is>
          <t>Day 2 : Tuesday — Bench</t>
        </is>
      </c>
    </row>
    <row r="103" ht="36" customHeight="1">
      <c r="A103" s="51" t="inlineStr">
        <is>
          <t>💡 Coaching Rationale: Bench is 7x2 at 90% of max, RPE 8-9. This is the heaviest bench work of the program, close to what a competition attempt will feel like.</t>
        </is>
      </c>
    </row>
    <row r="104" ht="22" customHeight="1">
      <c r="A104" s="52" t="inlineStr">
        <is>
          <t>#</t>
        </is>
      </c>
      <c r="B104" s="52" t="inlineStr">
        <is>
          <t>Exercise</t>
        </is>
      </c>
      <c r="C104" s="52" t="inlineStr">
        <is>
          <t>Type</t>
        </is>
      </c>
      <c r="D104" s="52" t="inlineStr">
        <is>
          <t>Sets</t>
        </is>
      </c>
      <c r="E104" s="52" t="inlineStr">
        <is>
          <t>Reps</t>
        </is>
      </c>
      <c r="F104" s="52" t="inlineStr">
        <is>
          <t>% 1RM</t>
        </is>
      </c>
      <c r="G104" s="52" t="inlineStr">
        <is>
          <t>Prescribed (lbs)</t>
        </is>
      </c>
      <c r="H104" s="52" t="inlineStr">
        <is>
          <t>RPE</t>
        </is>
      </c>
      <c r="I104" s="52" t="inlineStr">
        <is>
          <t>Technique Notes</t>
        </is>
      </c>
      <c r="J104" s="52" t="inlineStr">
        <is>
          <t>Actual Wt</t>
        </is>
      </c>
      <c r="K104" s="52" t="inlineStr">
        <is>
          <t>Reps/Notes</t>
        </is>
      </c>
      <c r="L104" s="52" t="inlineStr">
        <is>
          <t>Done</t>
        </is>
      </c>
    </row>
    <row r="105" ht="22" customHeight="1">
      <c r="A105" s="32" t="n">
        <v>1</v>
      </c>
      <c r="B105" s="53" t="inlineStr">
        <is>
          <t>Bench</t>
        </is>
      </c>
      <c r="C105" s="34" t="inlineStr">
        <is>
          <t>Main</t>
        </is>
      </c>
      <c r="D105" s="28" t="n">
        <v>7</v>
      </c>
      <c r="E105" s="28" t="inlineStr">
        <is>
          <t>2</t>
        </is>
      </c>
      <c r="F105" s="28" t="inlineStr">
        <is>
          <t>90%</t>
        </is>
      </c>
      <c r="G105" s="35">
        <f>ROUND('Setup &amp; Dashboard'!$C$8*0.9/5, 0)*5</f>
        <v/>
      </c>
      <c r="H105" s="28" t="inlineStr">
        <is>
          <t>@8-9</t>
        </is>
      </c>
      <c r="I105" s="56" t="inlineStr"/>
      <c r="J105" s="55" t="inlineStr"/>
      <c r="K105" s="55" t="inlineStr"/>
      <c r="L105" s="14" t="inlineStr">
        <is>
          <t>[ ]</t>
        </is>
      </c>
    </row>
    <row r="106" ht="22" customHeight="1">
      <c r="A106" s="32" t="n">
        <v>2</v>
      </c>
      <c r="B106" s="57" t="inlineStr">
        <is>
          <t>Close-grip bench</t>
        </is>
      </c>
      <c r="C106" s="32" t="inlineStr">
        <is>
          <t>Acc</t>
        </is>
      </c>
      <c r="D106" s="30" t="n">
        <v>3</v>
      </c>
      <c r="E106" s="30" t="inlineStr">
        <is>
          <t>4</t>
        </is>
      </c>
      <c r="F106" s="30" t="inlineStr"/>
      <c r="G106" s="32" t="inlineStr"/>
      <c r="H106" s="32" t="inlineStr"/>
      <c r="I106" s="56" t="inlineStr"/>
      <c r="J106" s="55" t="inlineStr"/>
      <c r="K106" s="55" t="inlineStr"/>
      <c r="L106" s="14" t="inlineStr">
        <is>
          <t>[ ]</t>
        </is>
      </c>
    </row>
    <row r="107" ht="22" customHeight="1">
      <c r="A107" s="32" t="n">
        <v>3</v>
      </c>
      <c r="B107" s="57" t="inlineStr">
        <is>
          <t>Incline DB press</t>
        </is>
      </c>
      <c r="C107" s="32" t="inlineStr">
        <is>
          <t>Acc</t>
        </is>
      </c>
      <c r="D107" s="30" t="n">
        <v>2</v>
      </c>
      <c r="E107" s="30" t="inlineStr">
        <is>
          <t>8</t>
        </is>
      </c>
      <c r="F107" s="30" t="inlineStr"/>
      <c r="G107" s="32" t="inlineStr"/>
      <c r="H107" s="32" t="inlineStr"/>
      <c r="I107" s="56" t="inlineStr"/>
      <c r="J107" s="55" t="inlineStr"/>
      <c r="K107" s="55" t="inlineStr"/>
      <c r="L107" s="14" t="inlineStr">
        <is>
          <t>[ ]</t>
        </is>
      </c>
    </row>
    <row r="108" ht="22" customHeight="1">
      <c r="A108" s="32" t="n">
        <v>4</v>
      </c>
      <c r="B108" s="57" t="inlineStr">
        <is>
          <t>Triceps pressdown</t>
        </is>
      </c>
      <c r="C108" s="32" t="inlineStr">
        <is>
          <t>Acc</t>
        </is>
      </c>
      <c r="D108" s="30" t="n">
        <v>2</v>
      </c>
      <c r="E108" s="30" t="inlineStr">
        <is>
          <t>12</t>
        </is>
      </c>
      <c r="F108" s="30" t="inlineStr"/>
      <c r="G108" s="32" t="inlineStr"/>
      <c r="H108" s="32" t="inlineStr"/>
      <c r="I108" s="56" t="inlineStr"/>
      <c r="J108" s="55" t="inlineStr"/>
      <c r="K108" s="55" t="inlineStr"/>
      <c r="L108" s="14" t="inlineStr">
        <is>
          <t>[ ]</t>
        </is>
      </c>
    </row>
    <row r="109" ht="22" customHeight="1">
      <c r="A109" s="32" t="n">
        <v>5</v>
      </c>
      <c r="B109" s="57" t="inlineStr">
        <is>
          <t>Face pull</t>
        </is>
      </c>
      <c r="C109" s="32" t="inlineStr">
        <is>
          <t>Acc</t>
        </is>
      </c>
      <c r="D109" s="30" t="n">
        <v>2</v>
      </c>
      <c r="E109" s="30" t="inlineStr">
        <is>
          <t>15</t>
        </is>
      </c>
      <c r="F109" s="30" t="inlineStr"/>
      <c r="G109" s="32" t="inlineStr"/>
      <c r="H109" s="32" t="inlineStr"/>
      <c r="I109" s="56" t="inlineStr"/>
      <c r="J109" s="55" t="inlineStr"/>
      <c r="K109" s="55" t="inlineStr"/>
      <c r="L109" s="14" t="inlineStr">
        <is>
          <t>[ ]</t>
        </is>
      </c>
    </row>
    <row r="110"/>
    <row r="111" ht="22" customHeight="1">
      <c r="A111" s="50" t="inlineStr">
        <is>
          <t>Day 3 : Thursday — Deadlift</t>
        </is>
      </c>
    </row>
    <row r="112" ht="54" customHeight="1">
      <c r="A112" s="51" t="inlineStr">
        <is>
          <t>💡 Coaching Rationale: Deadlift is 3x2 at 89%, RPE 8-9. That's 3 quality doubles at the heaviest deadlift weight so far, which is enough without hurting next week's recovery. The 1.5-rep deadlift is base + 35 lb.</t>
        </is>
      </c>
    </row>
    <row r="113" ht="22" customHeight="1">
      <c r="A113" s="52" t="inlineStr">
        <is>
          <t>#</t>
        </is>
      </c>
      <c r="B113" s="52" t="inlineStr">
        <is>
          <t>Exercise</t>
        </is>
      </c>
      <c r="C113" s="52" t="inlineStr">
        <is>
          <t>Type</t>
        </is>
      </c>
      <c r="D113" s="52" t="inlineStr">
        <is>
          <t>Sets</t>
        </is>
      </c>
      <c r="E113" s="52" t="inlineStr">
        <is>
          <t>Reps</t>
        </is>
      </c>
      <c r="F113" s="52" t="inlineStr">
        <is>
          <t>% 1RM</t>
        </is>
      </c>
      <c r="G113" s="52" t="inlineStr">
        <is>
          <t>Prescribed (lbs)</t>
        </is>
      </c>
      <c r="H113" s="52" t="inlineStr">
        <is>
          <t>RPE</t>
        </is>
      </c>
      <c r="I113" s="52" t="inlineStr">
        <is>
          <t>Technique Notes</t>
        </is>
      </c>
      <c r="J113" s="52" t="inlineStr">
        <is>
          <t>Actual Wt</t>
        </is>
      </c>
      <c r="K113" s="52" t="inlineStr">
        <is>
          <t>Reps/Notes</t>
        </is>
      </c>
      <c r="L113" s="52" t="inlineStr">
        <is>
          <t>Done</t>
        </is>
      </c>
    </row>
    <row r="114" ht="22" customHeight="1">
      <c r="A114" s="32" t="n">
        <v>1</v>
      </c>
      <c r="B114" s="53" t="inlineStr">
        <is>
          <t>Deadlift</t>
        </is>
      </c>
      <c r="C114" s="34" t="inlineStr">
        <is>
          <t>Main</t>
        </is>
      </c>
      <c r="D114" s="28" t="n">
        <v>3</v>
      </c>
      <c r="E114" s="28" t="inlineStr">
        <is>
          <t>2</t>
        </is>
      </c>
      <c r="F114" s="28" t="inlineStr">
        <is>
          <t>89%</t>
        </is>
      </c>
      <c r="G114" s="35">
        <f>ROUND('Setup &amp; Dashboard'!$C$9*0.89/5, 0)*5</f>
        <v/>
      </c>
      <c r="H114" s="28" t="inlineStr">
        <is>
          <t>@8-9</t>
        </is>
      </c>
      <c r="I114" s="56" t="inlineStr"/>
      <c r="J114" s="55" t="inlineStr"/>
      <c r="K114" s="55" t="inlineStr"/>
      <c r="L114" s="14" t="inlineStr">
        <is>
          <t>[ ]</t>
        </is>
      </c>
    </row>
    <row r="115" ht="22" customHeight="1">
      <c r="A115" s="32" t="n">
        <v>2</v>
      </c>
      <c r="B115" s="53" t="inlineStr">
        <is>
          <t>1.5-rep deadlift (knee height)</t>
        </is>
      </c>
      <c r="C115" s="34" t="inlineStr">
        <is>
          <t>Main</t>
        </is>
      </c>
      <c r="D115" s="28" t="n">
        <v>3</v>
      </c>
      <c r="E115" s="28" t="inlineStr">
        <is>
          <t>3</t>
        </is>
      </c>
      <c r="F115" s="28" t="inlineStr">
        <is>
          <t xml:space="preserve">60% +35# </t>
        </is>
      </c>
      <c r="G115" s="35">
        <f>ROUND('Setup &amp; Dashboard'!$C$9*0.6/5, 0)*5+35</f>
        <v/>
      </c>
      <c r="H115" s="32" t="inlineStr"/>
      <c r="I115" s="54" t="inlineStr">
        <is>
          <t>Reset every rep; lower to just below knee, return to lockout, then lower fully. W1 60% DL max; add +5 lb/week only if clean and ≤RPE 7. Deload: 2x3 @55% max.</t>
        </is>
      </c>
      <c r="J115" s="55" t="inlineStr"/>
      <c r="K115" s="55" t="inlineStr"/>
      <c r="L115" s="14" t="inlineStr">
        <is>
          <t>[ ]</t>
        </is>
      </c>
    </row>
    <row r="116" ht="22" customHeight="1">
      <c r="A116" s="32" t="n">
        <v>3</v>
      </c>
      <c r="B116" s="57" t="inlineStr">
        <is>
          <t>Reverse hyper</t>
        </is>
      </c>
      <c r="C116" s="32" t="inlineStr">
        <is>
          <t>Acc</t>
        </is>
      </c>
      <c r="D116" s="30" t="n">
        <v>2</v>
      </c>
      <c r="E116" s="30" t="inlineStr">
        <is>
          <t>10</t>
        </is>
      </c>
      <c r="F116" s="30" t="inlineStr"/>
      <c r="G116" s="32" t="inlineStr"/>
      <c r="H116" s="32" t="inlineStr"/>
      <c r="I116" s="56" t="inlineStr"/>
      <c r="J116" s="55" t="inlineStr"/>
      <c r="K116" s="55" t="inlineStr"/>
      <c r="L116" s="14" t="inlineStr">
        <is>
          <t>[ ]</t>
        </is>
      </c>
    </row>
    <row r="117" ht="22" customHeight="1">
      <c r="A117" s="32" t="n">
        <v>4</v>
      </c>
      <c r="B117" s="57" t="inlineStr">
        <is>
          <t>Jefferson curl</t>
        </is>
      </c>
      <c r="C117" s="32" t="inlineStr">
        <is>
          <t>Acc</t>
        </is>
      </c>
      <c r="D117" s="30" t="n">
        <v>2</v>
      </c>
      <c r="E117" s="30" t="inlineStr">
        <is>
          <t>6</t>
        </is>
      </c>
      <c r="F117" s="30" t="inlineStr"/>
      <c r="G117" s="32" t="inlineStr"/>
      <c r="H117" s="32" t="inlineStr"/>
      <c r="I117" s="56" t="inlineStr"/>
      <c r="J117" s="55" t="inlineStr"/>
      <c r="K117" s="55" t="inlineStr"/>
      <c r="L117" s="14" t="inlineStr">
        <is>
          <t>[ ]</t>
        </is>
      </c>
    </row>
    <row r="118"/>
    <row r="119" ht="22" customHeight="1">
      <c r="A119" s="50" t="inlineStr">
        <is>
          <t>Day 4 : Friday — Bench variant / upper body</t>
        </is>
      </c>
    </row>
    <row r="120" ht="36" customHeight="1">
      <c r="A120" s="51" t="inlineStr">
        <is>
          <t>💡 Coaching Rationale: Paused bench at 70% and trimmed accessories. The week's real work already happened on Days 1-3.</t>
        </is>
      </c>
    </row>
    <row r="121" ht="22" customHeight="1">
      <c r="A121" s="52" t="inlineStr">
        <is>
          <t>#</t>
        </is>
      </c>
      <c r="B121" s="52" t="inlineStr">
        <is>
          <t>Exercise</t>
        </is>
      </c>
      <c r="C121" s="52" t="inlineStr">
        <is>
          <t>Type</t>
        </is>
      </c>
      <c r="D121" s="52" t="inlineStr">
        <is>
          <t>Sets</t>
        </is>
      </c>
      <c r="E121" s="52" t="inlineStr">
        <is>
          <t>Reps</t>
        </is>
      </c>
      <c r="F121" s="52" t="inlineStr">
        <is>
          <t>% 1RM</t>
        </is>
      </c>
      <c r="G121" s="52" t="inlineStr">
        <is>
          <t>Prescribed (lbs)</t>
        </is>
      </c>
      <c r="H121" s="52" t="inlineStr">
        <is>
          <t>RPE</t>
        </is>
      </c>
      <c r="I121" s="52" t="inlineStr">
        <is>
          <t>Technique Notes</t>
        </is>
      </c>
      <c r="J121" s="52" t="inlineStr">
        <is>
          <t>Actual Wt</t>
        </is>
      </c>
      <c r="K121" s="52" t="inlineStr">
        <is>
          <t>Reps/Notes</t>
        </is>
      </c>
      <c r="L121" s="52" t="inlineStr">
        <is>
          <t>Done</t>
        </is>
      </c>
    </row>
    <row r="122" ht="22" customHeight="1">
      <c r="A122" s="32" t="n">
        <v>1</v>
      </c>
      <c r="B122" s="53" t="inlineStr">
        <is>
          <t>Paused bench</t>
        </is>
      </c>
      <c r="C122" s="34" t="inlineStr">
        <is>
          <t>Main</t>
        </is>
      </c>
      <c r="D122" s="28" t="n">
        <v>3</v>
      </c>
      <c r="E122" s="28" t="inlineStr">
        <is>
          <t>2</t>
        </is>
      </c>
      <c r="F122" s="28" t="inlineStr">
        <is>
          <t>70%</t>
        </is>
      </c>
      <c r="G122" s="35">
        <f>ROUND('Setup &amp; Dashboard'!$C$8*0.7/5, 0)*5</f>
        <v/>
      </c>
      <c r="H122" s="28" t="inlineStr">
        <is>
          <t>@7</t>
        </is>
      </c>
      <c r="I122" s="56" t="inlineStr"/>
      <c r="J122" s="55" t="inlineStr"/>
      <c r="K122" s="55" t="inlineStr"/>
      <c r="L122" s="14" t="inlineStr">
        <is>
          <t>[ ]</t>
        </is>
      </c>
    </row>
    <row r="123" ht="22" customHeight="1">
      <c r="A123" s="32" t="n">
        <v>2</v>
      </c>
      <c r="B123" s="57" t="inlineStr">
        <is>
          <t>Lat pulldown</t>
        </is>
      </c>
      <c r="C123" s="32" t="inlineStr">
        <is>
          <t>Acc</t>
        </is>
      </c>
      <c r="D123" s="30" t="n">
        <v>3</v>
      </c>
      <c r="E123" s="30" t="inlineStr">
        <is>
          <t>10</t>
        </is>
      </c>
      <c r="F123" s="30" t="inlineStr"/>
      <c r="G123" s="32" t="inlineStr"/>
      <c r="H123" s="32" t="inlineStr"/>
      <c r="I123" s="56" t="inlineStr"/>
      <c r="J123" s="55" t="inlineStr"/>
      <c r="K123" s="55" t="inlineStr"/>
      <c r="L123" s="14" t="inlineStr">
        <is>
          <t>[ ]</t>
        </is>
      </c>
    </row>
    <row r="124" ht="22" customHeight="1">
      <c r="A124" s="32" t="n">
        <v>3</v>
      </c>
      <c r="B124" s="57" t="inlineStr">
        <is>
          <t>Lateral raise</t>
        </is>
      </c>
      <c r="C124" s="32" t="inlineStr">
        <is>
          <t>Acc</t>
        </is>
      </c>
      <c r="D124" s="30" t="n">
        <v>3</v>
      </c>
      <c r="E124" s="30" t="inlineStr">
        <is>
          <t>15</t>
        </is>
      </c>
      <c r="F124" s="30" t="inlineStr"/>
      <c r="G124" s="32" t="inlineStr"/>
      <c r="H124" s="32" t="inlineStr"/>
      <c r="I124" s="56" t="inlineStr"/>
      <c r="J124" s="55" t="inlineStr"/>
      <c r="K124" s="55" t="inlineStr"/>
      <c r="L124" s="14" t="inlineStr">
        <is>
          <t>[ ]</t>
        </is>
      </c>
    </row>
    <row r="125" ht="22" customHeight="1">
      <c r="A125" s="32" t="n">
        <v>4</v>
      </c>
      <c r="B125" s="57" t="inlineStr">
        <is>
          <t>Curl</t>
        </is>
      </c>
      <c r="C125" s="32" t="inlineStr">
        <is>
          <t>Acc</t>
        </is>
      </c>
      <c r="D125" s="30" t="n">
        <v>3</v>
      </c>
      <c r="E125" s="30" t="inlineStr">
        <is>
          <t>10</t>
        </is>
      </c>
      <c r="F125" s="30" t="inlineStr"/>
      <c r="G125" s="32" t="inlineStr"/>
      <c r="H125" s="32" t="inlineStr"/>
      <c r="I125" s="56" t="inlineStr"/>
      <c r="J125" s="55" t="inlineStr"/>
      <c r="K125" s="55" t="inlineStr"/>
      <c r="L125" s="14" t="inlineStr">
        <is>
          <t>[ ]</t>
        </is>
      </c>
    </row>
    <row r="126" ht="22" customHeight="1">
      <c r="A126" s="32" t="n">
        <v>5</v>
      </c>
      <c r="B126" s="57" t="inlineStr">
        <is>
          <t>Pallof press</t>
        </is>
      </c>
      <c r="C126" s="32" t="inlineStr">
        <is>
          <t>Acc</t>
        </is>
      </c>
      <c r="D126" s="30" t="n">
        <v>2</v>
      </c>
      <c r="E126" s="30" t="inlineStr">
        <is>
          <t>10/side</t>
        </is>
      </c>
      <c r="F126" s="30" t="inlineStr"/>
      <c r="G126" s="32" t="inlineStr"/>
      <c r="H126" s="32" t="inlineStr"/>
      <c r="I126" s="56" t="inlineStr"/>
      <c r="J126" s="55" t="inlineStr"/>
      <c r="K126" s="55" t="inlineStr"/>
      <c r="L126" s="14" t="inlineStr">
        <is>
          <t>[ ]</t>
        </is>
      </c>
    </row>
    <row r="127"/>
    <row r="128" ht="22" customHeight="1">
      <c r="A128" s="50" t="inlineStr">
        <is>
          <t>Day 5 : Saturday — Squat variant + Bent-over row</t>
        </is>
      </c>
    </row>
    <row r="129" ht="24" customHeight="1">
      <c r="A129" s="51" t="inlineStr">
        <is>
          <t>💡 Coaching Rationale: High-bar squat is base + 5 lb for 2x3. Volume drops as the main lifts get heavier.</t>
        </is>
      </c>
    </row>
    <row r="130" ht="22" customHeight="1">
      <c r="A130" s="52" t="inlineStr">
        <is>
          <t>#</t>
        </is>
      </c>
      <c r="B130" s="52" t="inlineStr">
        <is>
          <t>Exercise</t>
        </is>
      </c>
      <c r="C130" s="52" t="inlineStr">
        <is>
          <t>Type</t>
        </is>
      </c>
      <c r="D130" s="52" t="inlineStr">
        <is>
          <t>Sets</t>
        </is>
      </c>
      <c r="E130" s="52" t="inlineStr">
        <is>
          <t>Reps</t>
        </is>
      </c>
      <c r="F130" s="52" t="inlineStr">
        <is>
          <t>% 1RM</t>
        </is>
      </c>
      <c r="G130" s="52" t="inlineStr">
        <is>
          <t>Prescribed (lbs)</t>
        </is>
      </c>
      <c r="H130" s="52" t="inlineStr">
        <is>
          <t>RPE</t>
        </is>
      </c>
      <c r="I130" s="52" t="inlineStr">
        <is>
          <t>Technique Notes</t>
        </is>
      </c>
      <c r="J130" s="52" t="inlineStr">
        <is>
          <t>Actual Wt</t>
        </is>
      </c>
      <c r="K130" s="52" t="inlineStr">
        <is>
          <t>Reps/Notes</t>
        </is>
      </c>
      <c r="L130" s="52" t="inlineStr">
        <is>
          <t>Done</t>
        </is>
      </c>
    </row>
    <row r="131" ht="22" customHeight="1">
      <c r="A131" s="32" t="n">
        <v>1</v>
      </c>
      <c r="B131" s="53" t="inlineStr">
        <is>
          <t>High-bar squat</t>
        </is>
      </c>
      <c r="C131" s="34" t="inlineStr">
        <is>
          <t>Main</t>
        </is>
      </c>
      <c r="D131" s="28" t="n">
        <v>2</v>
      </c>
      <c r="E131" s="28" t="inlineStr">
        <is>
          <t>3</t>
        </is>
      </c>
      <c r="F131" s="28" t="inlineStr">
        <is>
          <t xml:space="preserve">75% +5# </t>
        </is>
      </c>
      <c r="G131" s="35">
        <f>ROUND('Setup &amp; Dashboard'!$C$7*0.75/5, 0)*5+5</f>
        <v/>
      </c>
      <c r="H131" s="28" t="inlineStr">
        <is>
          <t>@≤8</t>
        </is>
      </c>
      <c r="I131" s="54" t="inlineStr">
        <is>
          <t>Clean reps; no grinding</t>
        </is>
      </c>
      <c r="J131" s="55" t="inlineStr"/>
      <c r="K131" s="55" t="inlineStr"/>
      <c r="L131" s="14" t="inlineStr">
        <is>
          <t>[ ]</t>
        </is>
      </c>
    </row>
    <row r="132" ht="22" customHeight="1">
      <c r="A132" s="32" t="n">
        <v>2</v>
      </c>
      <c r="B132" s="57" t="inlineStr">
        <is>
          <t>Bent-over row</t>
        </is>
      </c>
      <c r="C132" s="32" t="inlineStr">
        <is>
          <t>Acc</t>
        </is>
      </c>
      <c r="D132" s="30" t="n">
        <v>4</v>
      </c>
      <c r="E132" s="30" t="inlineStr">
        <is>
          <t>4-6</t>
        </is>
      </c>
      <c r="F132" s="30" t="inlineStr">
        <is>
          <t>Row +5#</t>
        </is>
      </c>
      <c r="G132" s="35">
        <f>'Setup &amp; Dashboard'!$C$10+(8-1)*5</f>
        <v/>
      </c>
      <c r="H132" s="32" t="inlineStr"/>
      <c r="I132" s="54" t="inlineStr">
        <is>
          <t>4 strict sets. Add 5 lb next exposure only when every set is clean and ≤RPE 8; deload load/reps, no failure.</t>
        </is>
      </c>
      <c r="J132" s="55" t="inlineStr"/>
      <c r="K132" s="55" t="inlineStr"/>
      <c r="L132" s="14" t="inlineStr">
        <is>
          <t>[ ]</t>
        </is>
      </c>
    </row>
    <row r="133" ht="22" customHeight="1">
      <c r="A133" s="32" t="n">
        <v>3</v>
      </c>
      <c r="B133" s="57" t="inlineStr">
        <is>
          <t>Reverse hyper</t>
        </is>
      </c>
      <c r="C133" s="32" t="inlineStr">
        <is>
          <t>Acc</t>
        </is>
      </c>
      <c r="D133" s="30" t="n">
        <v>2</v>
      </c>
      <c r="E133" s="30" t="inlineStr">
        <is>
          <t>10</t>
        </is>
      </c>
      <c r="F133" s="30" t="inlineStr"/>
      <c r="G133" s="32" t="inlineStr"/>
      <c r="H133" s="32" t="inlineStr"/>
      <c r="I133" s="56" t="inlineStr"/>
      <c r="J133" s="55" t="inlineStr"/>
      <c r="K133" s="55" t="inlineStr"/>
      <c r="L133" s="14" t="inlineStr">
        <is>
          <t>[ ]</t>
        </is>
      </c>
    </row>
    <row r="134" ht="22" customHeight="1">
      <c r="A134" s="32" t="n">
        <v>4</v>
      </c>
      <c r="B134" s="57" t="inlineStr">
        <is>
          <t>GHR or Nordic curl</t>
        </is>
      </c>
      <c r="C134" s="32" t="inlineStr">
        <is>
          <t>Acc</t>
        </is>
      </c>
      <c r="D134" s="30" t="n">
        <v>2</v>
      </c>
      <c r="E134" s="30" t="inlineStr">
        <is>
          <t>8</t>
        </is>
      </c>
      <c r="F134" s="30" t="inlineStr"/>
      <c r="G134" s="32" t="inlineStr"/>
      <c r="H134" s="32" t="inlineStr"/>
      <c r="I134" s="56" t="inlineStr"/>
      <c r="J134" s="55" t="inlineStr"/>
      <c r="K134" s="55" t="inlineStr"/>
      <c r="L134" s="14" t="inlineStr">
        <is>
          <t>[ ]</t>
        </is>
      </c>
    </row>
    <row r="135"/>
    <row r="136" ht="26" customHeight="1">
      <c r="A136" s="61" t="inlineStr">
        <is>
          <t>WEEK 9 — TOP OF INTENSIFICATION</t>
        </is>
      </c>
    </row>
    <row r="137" ht="22" customHeight="1">
      <c r="A137" s="50" t="inlineStr">
        <is>
          <t>Day 1 : Monday — Squat</t>
        </is>
      </c>
    </row>
    <row r="138" ht="54" customHeight="1">
      <c r="A138" s="51" t="inlineStr">
        <is>
          <t>💡 Coaching Rationale: This is the final heavy exposure before the deload: the top single at 92% of max (RPE 8 cap), then only 2x2 at 87%. Cut the back-offs if needed. Protecting freshness for Weeks 11-13 matters more than finishing every rep here.</t>
        </is>
      </c>
    </row>
    <row r="139" ht="22" customHeight="1">
      <c r="A139" s="52" t="inlineStr">
        <is>
          <t>#</t>
        </is>
      </c>
      <c r="B139" s="52" t="inlineStr">
        <is>
          <t>Exercise</t>
        </is>
      </c>
      <c r="C139" s="52" t="inlineStr">
        <is>
          <t>Type</t>
        </is>
      </c>
      <c r="D139" s="52" t="inlineStr">
        <is>
          <t>Sets</t>
        </is>
      </c>
      <c r="E139" s="52" t="inlineStr">
        <is>
          <t>Reps</t>
        </is>
      </c>
      <c r="F139" s="52" t="inlineStr">
        <is>
          <t>% 1RM</t>
        </is>
      </c>
      <c r="G139" s="52" t="inlineStr">
        <is>
          <t>Prescribed (lbs)</t>
        </is>
      </c>
      <c r="H139" s="52" t="inlineStr">
        <is>
          <t>RPE</t>
        </is>
      </c>
      <c r="I139" s="52" t="inlineStr">
        <is>
          <t>Technique Notes</t>
        </is>
      </c>
      <c r="J139" s="52" t="inlineStr">
        <is>
          <t>Actual Wt</t>
        </is>
      </c>
      <c r="K139" s="52" t="inlineStr">
        <is>
          <t>Reps/Notes</t>
        </is>
      </c>
      <c r="L139" s="52" t="inlineStr">
        <is>
          <t>Done</t>
        </is>
      </c>
    </row>
    <row r="140" ht="22" customHeight="1">
      <c r="A140" s="32" t="n">
        <v>1</v>
      </c>
      <c r="B140" s="53" t="inlineStr">
        <is>
          <t>Squat — top single</t>
        </is>
      </c>
      <c r="C140" s="34" t="inlineStr">
        <is>
          <t>Main</t>
        </is>
      </c>
      <c r="D140" s="28" t="n">
        <v>1</v>
      </c>
      <c r="E140" s="28" t="inlineStr">
        <is>
          <t>1</t>
        </is>
      </c>
      <c r="F140" s="28" t="inlineStr">
        <is>
          <t>92%</t>
        </is>
      </c>
      <c r="G140" s="35">
        <f>ROUND('Setup &amp; Dashboard'!$C$7*0.92/5, 0)*5</f>
        <v/>
      </c>
      <c r="H140" s="28" t="inlineStr">
        <is>
          <t>@8 cap</t>
        </is>
      </c>
      <c r="I140" s="54" t="inlineStr">
        <is>
          <t>Smooth single, no grind</t>
        </is>
      </c>
      <c r="J140" s="55" t="inlineStr"/>
      <c r="K140" s="55" t="inlineStr"/>
      <c r="L140" s="14" t="inlineStr">
        <is>
          <t>[ ]</t>
        </is>
      </c>
    </row>
    <row r="141" ht="22" customHeight="1">
      <c r="A141" s="32" t="n">
        <v>2</v>
      </c>
      <c r="B141" s="53" t="inlineStr">
        <is>
          <t>Squat — back-off</t>
        </is>
      </c>
      <c r="C141" s="34" t="inlineStr">
        <is>
          <t>Main</t>
        </is>
      </c>
      <c r="D141" s="28" t="n">
        <v>2</v>
      </c>
      <c r="E141" s="28" t="inlineStr">
        <is>
          <t>2</t>
        </is>
      </c>
      <c r="F141" s="28" t="inlineStr">
        <is>
          <t>87%</t>
        </is>
      </c>
      <c r="G141" s="35">
        <f>ROUND('Setup &amp; Dashboard'!$C$7*0.87/5, 0)*5</f>
        <v/>
      </c>
      <c r="H141" s="28" t="inlineStr">
        <is>
          <t>@8 cap</t>
        </is>
      </c>
      <c r="I141" s="54" t="inlineStr">
        <is>
          <t>Reduce if needed</t>
        </is>
      </c>
      <c r="J141" s="55" t="inlineStr"/>
      <c r="K141" s="55" t="inlineStr"/>
      <c r="L141" s="14" t="inlineStr">
        <is>
          <t>[ ]</t>
        </is>
      </c>
    </row>
    <row r="142" ht="22" customHeight="1">
      <c r="A142" s="32" t="n">
        <v>3</v>
      </c>
      <c r="B142" s="57" t="inlineStr">
        <is>
          <t>Split squat</t>
        </is>
      </c>
      <c r="C142" s="32" t="inlineStr">
        <is>
          <t>Acc</t>
        </is>
      </c>
      <c r="D142" s="30" t="n">
        <v>2</v>
      </c>
      <c r="E142" s="30" t="inlineStr">
        <is>
          <t>8/leg</t>
        </is>
      </c>
      <c r="F142" s="30" t="inlineStr"/>
      <c r="G142" s="32" t="inlineStr"/>
      <c r="H142" s="32" t="inlineStr"/>
      <c r="I142" s="56" t="inlineStr"/>
      <c r="J142" s="55" t="inlineStr"/>
      <c r="K142" s="55" t="inlineStr"/>
      <c r="L142" s="14" t="inlineStr">
        <is>
          <t>[ ]</t>
        </is>
      </c>
    </row>
    <row r="143" ht="22" customHeight="1">
      <c r="A143" s="32" t="n">
        <v>4</v>
      </c>
      <c r="B143" s="57" t="inlineStr">
        <is>
          <t>Leg curl</t>
        </is>
      </c>
      <c r="C143" s="32" t="inlineStr">
        <is>
          <t>Acc</t>
        </is>
      </c>
      <c r="D143" s="30" t="n">
        <v>2</v>
      </c>
      <c r="E143" s="30" t="inlineStr">
        <is>
          <t>10</t>
        </is>
      </c>
      <c r="F143" s="30" t="inlineStr"/>
      <c r="G143" s="32" t="inlineStr"/>
      <c r="H143" s="32" t="inlineStr"/>
      <c r="I143" s="56" t="inlineStr"/>
      <c r="J143" s="55" t="inlineStr"/>
      <c r="K143" s="55" t="inlineStr"/>
      <c r="L143" s="14" t="inlineStr">
        <is>
          <t>[ ]</t>
        </is>
      </c>
    </row>
    <row r="144" ht="22" customHeight="1">
      <c r="A144" s="32" t="n">
        <v>5</v>
      </c>
      <c r="B144" s="57" t="inlineStr">
        <is>
          <t>Copenhagen plank</t>
        </is>
      </c>
      <c r="C144" s="32" t="inlineStr">
        <is>
          <t>Acc</t>
        </is>
      </c>
      <c r="D144" s="30" t="n">
        <v>3</v>
      </c>
      <c r="E144" s="30" t="inlineStr">
        <is>
          <t>15sec/side</t>
        </is>
      </c>
      <c r="F144" s="30" t="inlineStr"/>
      <c r="G144" s="32" t="inlineStr"/>
      <c r="H144" s="32" t="inlineStr"/>
      <c r="I144" s="56" t="inlineStr"/>
      <c r="J144" s="55" t="inlineStr"/>
      <c r="K144" s="55" t="inlineStr"/>
      <c r="L144" s="14" t="inlineStr">
        <is>
          <t>[ ]</t>
        </is>
      </c>
    </row>
    <row r="145"/>
    <row r="146" ht="22" customHeight="1">
      <c r="A146" s="50" t="inlineStr">
        <is>
          <t>Day 2 : Tuesday — Bench</t>
        </is>
      </c>
    </row>
    <row r="147" ht="36" customHeight="1">
      <c r="A147" s="51" t="inlineStr">
        <is>
          <t>💡 Coaching Rationale: Bench drops to 6x2 at 88% of max, RPE 8-9. Volume comes down from Week 8 so you arrive at the deload ready to recover.</t>
        </is>
      </c>
    </row>
    <row r="148" ht="22" customHeight="1">
      <c r="A148" s="52" t="inlineStr">
        <is>
          <t>#</t>
        </is>
      </c>
      <c r="B148" s="52" t="inlineStr">
        <is>
          <t>Exercise</t>
        </is>
      </c>
      <c r="C148" s="52" t="inlineStr">
        <is>
          <t>Type</t>
        </is>
      </c>
      <c r="D148" s="52" t="inlineStr">
        <is>
          <t>Sets</t>
        </is>
      </c>
      <c r="E148" s="52" t="inlineStr">
        <is>
          <t>Reps</t>
        </is>
      </c>
      <c r="F148" s="52" t="inlineStr">
        <is>
          <t>% 1RM</t>
        </is>
      </c>
      <c r="G148" s="52" t="inlineStr">
        <is>
          <t>Prescribed (lbs)</t>
        </is>
      </c>
      <c r="H148" s="52" t="inlineStr">
        <is>
          <t>RPE</t>
        </is>
      </c>
      <c r="I148" s="52" t="inlineStr">
        <is>
          <t>Technique Notes</t>
        </is>
      </c>
      <c r="J148" s="52" t="inlineStr">
        <is>
          <t>Actual Wt</t>
        </is>
      </c>
      <c r="K148" s="52" t="inlineStr">
        <is>
          <t>Reps/Notes</t>
        </is>
      </c>
      <c r="L148" s="52" t="inlineStr">
        <is>
          <t>Done</t>
        </is>
      </c>
    </row>
    <row r="149" ht="22" customHeight="1">
      <c r="A149" s="32" t="n">
        <v>1</v>
      </c>
      <c r="B149" s="53" t="inlineStr">
        <is>
          <t>Bench</t>
        </is>
      </c>
      <c r="C149" s="34" t="inlineStr">
        <is>
          <t>Main</t>
        </is>
      </c>
      <c r="D149" s="28" t="n">
        <v>6</v>
      </c>
      <c r="E149" s="28" t="inlineStr">
        <is>
          <t>2</t>
        </is>
      </c>
      <c r="F149" s="28" t="inlineStr">
        <is>
          <t>88%</t>
        </is>
      </c>
      <c r="G149" s="35">
        <f>ROUND('Setup &amp; Dashboard'!$C$8*0.88/5, 0)*5</f>
        <v/>
      </c>
      <c r="H149" s="28" t="inlineStr">
        <is>
          <t>@8-9</t>
        </is>
      </c>
      <c r="I149" s="56" t="inlineStr"/>
      <c r="J149" s="55" t="inlineStr"/>
      <c r="K149" s="55" t="inlineStr"/>
      <c r="L149" s="14" t="inlineStr">
        <is>
          <t>[ ]</t>
        </is>
      </c>
    </row>
    <row r="150" ht="22" customHeight="1">
      <c r="A150" s="32" t="n">
        <v>2</v>
      </c>
      <c r="B150" s="57" t="inlineStr">
        <is>
          <t>Close-grip bench</t>
        </is>
      </c>
      <c r="C150" s="32" t="inlineStr">
        <is>
          <t>Acc</t>
        </is>
      </c>
      <c r="D150" s="30" t="n">
        <v>2</v>
      </c>
      <c r="E150" s="30" t="inlineStr">
        <is>
          <t>4</t>
        </is>
      </c>
      <c r="F150" s="30" t="inlineStr"/>
      <c r="G150" s="32" t="inlineStr"/>
      <c r="H150" s="32" t="inlineStr"/>
      <c r="I150" s="56" t="inlineStr"/>
      <c r="J150" s="55" t="inlineStr"/>
      <c r="K150" s="55" t="inlineStr"/>
      <c r="L150" s="14" t="inlineStr">
        <is>
          <t>[ ]</t>
        </is>
      </c>
    </row>
    <row r="151" ht="22" customHeight="1">
      <c r="A151" s="32" t="n">
        <v>3</v>
      </c>
      <c r="B151" s="57" t="inlineStr">
        <is>
          <t>Incline DB press</t>
        </is>
      </c>
      <c r="C151" s="32" t="inlineStr">
        <is>
          <t>Acc</t>
        </is>
      </c>
      <c r="D151" s="30" t="n">
        <v>2</v>
      </c>
      <c r="E151" s="30" t="inlineStr">
        <is>
          <t>8</t>
        </is>
      </c>
      <c r="F151" s="30" t="inlineStr"/>
      <c r="G151" s="32" t="inlineStr"/>
      <c r="H151" s="32" t="inlineStr"/>
      <c r="I151" s="56" t="inlineStr"/>
      <c r="J151" s="55" t="inlineStr"/>
      <c r="K151" s="55" t="inlineStr"/>
      <c r="L151" s="14" t="inlineStr">
        <is>
          <t>[ ]</t>
        </is>
      </c>
    </row>
    <row r="152" ht="22" customHeight="1">
      <c r="A152" s="32" t="n">
        <v>4</v>
      </c>
      <c r="B152" s="57" t="inlineStr">
        <is>
          <t>Triceps pressdown</t>
        </is>
      </c>
      <c r="C152" s="32" t="inlineStr">
        <is>
          <t>Acc</t>
        </is>
      </c>
      <c r="D152" s="30" t="n">
        <v>2</v>
      </c>
      <c r="E152" s="30" t="inlineStr">
        <is>
          <t>12</t>
        </is>
      </c>
      <c r="F152" s="30" t="inlineStr"/>
      <c r="G152" s="32" t="inlineStr"/>
      <c r="H152" s="32" t="inlineStr"/>
      <c r="I152" s="56" t="inlineStr"/>
      <c r="J152" s="55" t="inlineStr"/>
      <c r="K152" s="55" t="inlineStr"/>
      <c r="L152" s="14" t="inlineStr">
        <is>
          <t>[ ]</t>
        </is>
      </c>
    </row>
    <row r="153" ht="22" customHeight="1">
      <c r="A153" s="32" t="n">
        <v>5</v>
      </c>
      <c r="B153" s="57" t="inlineStr">
        <is>
          <t>Face pull</t>
        </is>
      </c>
      <c r="C153" s="32" t="inlineStr">
        <is>
          <t>Acc</t>
        </is>
      </c>
      <c r="D153" s="30" t="n">
        <v>2</v>
      </c>
      <c r="E153" s="30" t="inlineStr">
        <is>
          <t>15</t>
        </is>
      </c>
      <c r="F153" s="30" t="inlineStr"/>
      <c r="G153" s="32" t="inlineStr"/>
      <c r="H153" s="32" t="inlineStr"/>
      <c r="I153" s="56" t="inlineStr"/>
      <c r="J153" s="55" t="inlineStr"/>
      <c r="K153" s="55" t="inlineStr"/>
      <c r="L153" s="14" t="inlineStr">
        <is>
          <t>[ ]</t>
        </is>
      </c>
    </row>
    <row r="154"/>
    <row r="155" ht="22" customHeight="1">
      <c r="A155" s="50" t="inlineStr">
        <is>
          <t>Day 3 : Thursday — Deadlift</t>
        </is>
      </c>
    </row>
    <row r="156" ht="36" customHeight="1">
      <c r="A156" s="51" t="inlineStr">
        <is>
          <t>💡 Coaching Rationale: Deadlift is 2x2 at 88%, the fewest sets of the block, because it recovers slowest. The 1.5-rep deadlift reaches base + 40 lb. Skip the jump if the main doubles were a grind.</t>
        </is>
      </c>
    </row>
    <row r="157" ht="22" customHeight="1">
      <c r="A157" s="52" t="inlineStr">
        <is>
          <t>#</t>
        </is>
      </c>
      <c r="B157" s="52" t="inlineStr">
        <is>
          <t>Exercise</t>
        </is>
      </c>
      <c r="C157" s="52" t="inlineStr">
        <is>
          <t>Type</t>
        </is>
      </c>
      <c r="D157" s="52" t="inlineStr">
        <is>
          <t>Sets</t>
        </is>
      </c>
      <c r="E157" s="52" t="inlineStr">
        <is>
          <t>Reps</t>
        </is>
      </c>
      <c r="F157" s="52" t="inlineStr">
        <is>
          <t>% 1RM</t>
        </is>
      </c>
      <c r="G157" s="52" t="inlineStr">
        <is>
          <t>Prescribed (lbs)</t>
        </is>
      </c>
      <c r="H157" s="52" t="inlineStr">
        <is>
          <t>RPE</t>
        </is>
      </c>
      <c r="I157" s="52" t="inlineStr">
        <is>
          <t>Technique Notes</t>
        </is>
      </c>
      <c r="J157" s="52" t="inlineStr">
        <is>
          <t>Actual Wt</t>
        </is>
      </c>
      <c r="K157" s="52" t="inlineStr">
        <is>
          <t>Reps/Notes</t>
        </is>
      </c>
      <c r="L157" s="52" t="inlineStr">
        <is>
          <t>Done</t>
        </is>
      </c>
    </row>
    <row r="158" ht="22" customHeight="1">
      <c r="A158" s="32" t="n">
        <v>1</v>
      </c>
      <c r="B158" s="53" t="inlineStr">
        <is>
          <t>Deadlift</t>
        </is>
      </c>
      <c r="C158" s="34" t="inlineStr">
        <is>
          <t>Main</t>
        </is>
      </c>
      <c r="D158" s="28" t="n">
        <v>2</v>
      </c>
      <c r="E158" s="28" t="inlineStr">
        <is>
          <t>2</t>
        </is>
      </c>
      <c r="F158" s="28" t="inlineStr">
        <is>
          <t>88%</t>
        </is>
      </c>
      <c r="G158" s="35">
        <f>ROUND('Setup &amp; Dashboard'!$C$9*0.88/5, 0)*5</f>
        <v/>
      </c>
      <c r="H158" s="28" t="inlineStr">
        <is>
          <t>@8-9</t>
        </is>
      </c>
      <c r="I158" s="56" t="inlineStr"/>
      <c r="J158" s="55" t="inlineStr"/>
      <c r="K158" s="55" t="inlineStr"/>
      <c r="L158" s="14" t="inlineStr">
        <is>
          <t>[ ]</t>
        </is>
      </c>
    </row>
    <row r="159" ht="22" customHeight="1">
      <c r="A159" s="32" t="n">
        <v>2</v>
      </c>
      <c r="B159" s="53" t="inlineStr">
        <is>
          <t>1.5-rep deadlift (knee height)</t>
        </is>
      </c>
      <c r="C159" s="34" t="inlineStr">
        <is>
          <t>Main</t>
        </is>
      </c>
      <c r="D159" s="28" t="n">
        <v>3</v>
      </c>
      <c r="E159" s="28" t="inlineStr">
        <is>
          <t>3</t>
        </is>
      </c>
      <c r="F159" s="28" t="inlineStr">
        <is>
          <t xml:space="preserve">60% +40# </t>
        </is>
      </c>
      <c r="G159" s="35">
        <f>ROUND('Setup &amp; Dashboard'!$C$9*0.6/5, 0)*5+40</f>
        <v/>
      </c>
      <c r="H159" s="32" t="inlineStr"/>
      <c r="I159" s="54" t="inlineStr">
        <is>
          <t>Reset every rep; lower to just below knee, return to lockout, then lower fully. W1 60% DL max; add +5 lb/week only if clean and ≤RPE 7. Deload: 2x3 @55% max.</t>
        </is>
      </c>
      <c r="J159" s="55" t="inlineStr"/>
      <c r="K159" s="55" t="inlineStr"/>
      <c r="L159" s="14" t="inlineStr">
        <is>
          <t>[ ]</t>
        </is>
      </c>
    </row>
    <row r="160" ht="22" customHeight="1">
      <c r="A160" s="32" t="n">
        <v>3</v>
      </c>
      <c r="B160" s="57" t="inlineStr">
        <is>
          <t>Reverse hyper</t>
        </is>
      </c>
      <c r="C160" s="32" t="inlineStr">
        <is>
          <t>Acc</t>
        </is>
      </c>
      <c r="D160" s="30" t="n">
        <v>1</v>
      </c>
      <c r="E160" s="30" t="inlineStr">
        <is>
          <t>10</t>
        </is>
      </c>
      <c r="F160" s="30" t="inlineStr"/>
      <c r="G160" s="32" t="inlineStr"/>
      <c r="H160" s="32" t="inlineStr"/>
      <c r="I160" s="56" t="inlineStr"/>
      <c r="J160" s="55" t="inlineStr"/>
      <c r="K160" s="55" t="inlineStr"/>
      <c r="L160" s="14" t="inlineStr">
        <is>
          <t>[ ]</t>
        </is>
      </c>
    </row>
    <row r="161" ht="22" customHeight="1">
      <c r="A161" s="32" t="n">
        <v>4</v>
      </c>
      <c r="B161" s="57" t="inlineStr">
        <is>
          <t>Jefferson curl</t>
        </is>
      </c>
      <c r="C161" s="32" t="inlineStr">
        <is>
          <t>Acc</t>
        </is>
      </c>
      <c r="D161" s="30" t="n">
        <v>1</v>
      </c>
      <c r="E161" s="30" t="inlineStr">
        <is>
          <t>6</t>
        </is>
      </c>
      <c r="F161" s="30" t="inlineStr"/>
      <c r="G161" s="32" t="inlineStr"/>
      <c r="H161" s="32" t="inlineStr"/>
      <c r="I161" s="56" t="inlineStr"/>
      <c r="J161" s="55" t="inlineStr"/>
      <c r="K161" s="55" t="inlineStr"/>
      <c r="L161" s="14" t="inlineStr">
        <is>
          <t>[ ]</t>
        </is>
      </c>
    </row>
    <row r="162"/>
    <row r="163" ht="22" customHeight="1">
      <c r="A163" s="50" t="inlineStr">
        <is>
          <t>Day 4 : Friday — Bench variant / upper body</t>
        </is>
      </c>
    </row>
    <row r="164" ht="36" customHeight="1">
      <c r="A164" s="51" t="inlineStr">
        <is>
          <t>💡 Coaching Rationale: Competition-style bench means pause, grip and setup exactly as you'll test. This is a technique rehearsal at a manageable 83%, not a heavy push.</t>
        </is>
      </c>
    </row>
    <row r="165" ht="22" customHeight="1">
      <c r="A165" s="52" t="inlineStr">
        <is>
          <t>#</t>
        </is>
      </c>
      <c r="B165" s="52" t="inlineStr">
        <is>
          <t>Exercise</t>
        </is>
      </c>
      <c r="C165" s="52" t="inlineStr">
        <is>
          <t>Type</t>
        </is>
      </c>
      <c r="D165" s="52" t="inlineStr">
        <is>
          <t>Sets</t>
        </is>
      </c>
      <c r="E165" s="52" t="inlineStr">
        <is>
          <t>Reps</t>
        </is>
      </c>
      <c r="F165" s="52" t="inlineStr">
        <is>
          <t>% 1RM</t>
        </is>
      </c>
      <c r="G165" s="52" t="inlineStr">
        <is>
          <t>Prescribed (lbs)</t>
        </is>
      </c>
      <c r="H165" s="52" t="inlineStr">
        <is>
          <t>RPE</t>
        </is>
      </c>
      <c r="I165" s="52" t="inlineStr">
        <is>
          <t>Technique Notes</t>
        </is>
      </c>
      <c r="J165" s="52" t="inlineStr">
        <is>
          <t>Actual Wt</t>
        </is>
      </c>
      <c r="K165" s="52" t="inlineStr">
        <is>
          <t>Reps/Notes</t>
        </is>
      </c>
      <c r="L165" s="52" t="inlineStr">
        <is>
          <t>Done</t>
        </is>
      </c>
    </row>
    <row r="166" ht="22" customHeight="1">
      <c r="A166" s="32" t="n">
        <v>1</v>
      </c>
      <c r="B166" s="53" t="inlineStr">
        <is>
          <t>Competition-style bench</t>
        </is>
      </c>
      <c r="C166" s="34" t="inlineStr">
        <is>
          <t>Main</t>
        </is>
      </c>
      <c r="D166" s="28" t="n">
        <v>3</v>
      </c>
      <c r="E166" s="28" t="inlineStr">
        <is>
          <t>2</t>
        </is>
      </c>
      <c r="F166" s="28" t="inlineStr">
        <is>
          <t>83%</t>
        </is>
      </c>
      <c r="G166" s="35">
        <f>ROUND('Setup &amp; Dashboard'!$C$8*0.83/5, 0)*5</f>
        <v/>
      </c>
      <c r="H166" s="28" t="inlineStr">
        <is>
          <t>@7-8</t>
        </is>
      </c>
      <c r="I166" s="56" t="inlineStr"/>
      <c r="J166" s="55" t="inlineStr"/>
      <c r="K166" s="55" t="inlineStr"/>
      <c r="L166" s="14" t="inlineStr">
        <is>
          <t>[ ]</t>
        </is>
      </c>
    </row>
    <row r="167" ht="22" customHeight="1">
      <c r="A167" s="32" t="n">
        <v>2</v>
      </c>
      <c r="B167" s="57" t="inlineStr">
        <is>
          <t>Lat pulldown</t>
        </is>
      </c>
      <c r="C167" s="32" t="inlineStr">
        <is>
          <t>Acc</t>
        </is>
      </c>
      <c r="D167" s="30" t="n">
        <v>2</v>
      </c>
      <c r="E167" s="30" t="inlineStr">
        <is>
          <t>10</t>
        </is>
      </c>
      <c r="F167" s="30" t="inlineStr"/>
      <c r="G167" s="32" t="inlineStr"/>
      <c r="H167" s="32" t="inlineStr"/>
      <c r="I167" s="56" t="inlineStr"/>
      <c r="J167" s="55" t="inlineStr"/>
      <c r="K167" s="55" t="inlineStr"/>
      <c r="L167" s="14" t="inlineStr">
        <is>
          <t>[ ]</t>
        </is>
      </c>
    </row>
    <row r="168" ht="22" customHeight="1">
      <c r="A168" s="32" t="n">
        <v>3</v>
      </c>
      <c r="B168" s="57" t="inlineStr">
        <is>
          <t>Lateral raise</t>
        </is>
      </c>
      <c r="C168" s="32" t="inlineStr">
        <is>
          <t>Acc</t>
        </is>
      </c>
      <c r="D168" s="30" t="n">
        <v>2</v>
      </c>
      <c r="E168" s="30" t="inlineStr">
        <is>
          <t>15</t>
        </is>
      </c>
      <c r="F168" s="30" t="inlineStr"/>
      <c r="G168" s="32" t="inlineStr"/>
      <c r="H168" s="32" t="inlineStr"/>
      <c r="I168" s="56" t="inlineStr"/>
      <c r="J168" s="55" t="inlineStr"/>
      <c r="K168" s="55" t="inlineStr"/>
      <c r="L168" s="14" t="inlineStr">
        <is>
          <t>[ ]</t>
        </is>
      </c>
    </row>
    <row r="169" ht="22" customHeight="1">
      <c r="A169" s="32" t="n">
        <v>4</v>
      </c>
      <c r="B169" s="57" t="inlineStr">
        <is>
          <t>Curl</t>
        </is>
      </c>
      <c r="C169" s="32" t="inlineStr">
        <is>
          <t>Acc</t>
        </is>
      </c>
      <c r="D169" s="30" t="n">
        <v>2</v>
      </c>
      <c r="E169" s="30" t="inlineStr">
        <is>
          <t>10</t>
        </is>
      </c>
      <c r="F169" s="30" t="inlineStr"/>
      <c r="G169" s="32" t="inlineStr"/>
      <c r="H169" s="32" t="inlineStr"/>
      <c r="I169" s="56" t="inlineStr"/>
      <c r="J169" s="55" t="inlineStr"/>
      <c r="K169" s="55" t="inlineStr"/>
      <c r="L169" s="14" t="inlineStr">
        <is>
          <t>[ ]</t>
        </is>
      </c>
    </row>
    <row r="170" ht="22" customHeight="1">
      <c r="A170" s="32" t="n">
        <v>5</v>
      </c>
      <c r="B170" s="57" t="inlineStr">
        <is>
          <t>Pallof press</t>
        </is>
      </c>
      <c r="C170" s="32" t="inlineStr">
        <is>
          <t>Acc</t>
        </is>
      </c>
      <c r="D170" s="30" t="n">
        <v>2</v>
      </c>
      <c r="E170" s="30" t="inlineStr">
        <is>
          <t>10/side</t>
        </is>
      </c>
      <c r="F170" s="30" t="inlineStr"/>
      <c r="G170" s="32" t="inlineStr"/>
      <c r="H170" s="32" t="inlineStr"/>
      <c r="I170" s="56" t="inlineStr"/>
      <c r="J170" s="55" t="inlineStr"/>
      <c r="K170" s="55" t="inlineStr"/>
      <c r="L170" s="14" t="inlineStr">
        <is>
          <t>[ ]</t>
        </is>
      </c>
    </row>
    <row r="171"/>
    <row r="172" ht="22" customHeight="1">
      <c r="A172" s="50" t="inlineStr">
        <is>
          <t>Day 5 : Saturday — Squat variant + Bent-over row</t>
        </is>
      </c>
    </row>
    <row r="173" ht="36" customHeight="1">
      <c r="A173" s="51" t="inlineStr">
        <is>
          <t>💡 Coaching Rationale: High-bar squat is base + 10 lb for 2x2. That's low volume, only enough to keep the progression going.</t>
        </is>
      </c>
    </row>
    <row r="174" ht="22" customHeight="1">
      <c r="A174" s="52" t="inlineStr">
        <is>
          <t>#</t>
        </is>
      </c>
      <c r="B174" s="52" t="inlineStr">
        <is>
          <t>Exercise</t>
        </is>
      </c>
      <c r="C174" s="52" t="inlineStr">
        <is>
          <t>Type</t>
        </is>
      </c>
      <c r="D174" s="52" t="inlineStr">
        <is>
          <t>Sets</t>
        </is>
      </c>
      <c r="E174" s="52" t="inlineStr">
        <is>
          <t>Reps</t>
        </is>
      </c>
      <c r="F174" s="52" t="inlineStr">
        <is>
          <t>% 1RM</t>
        </is>
      </c>
      <c r="G174" s="52" t="inlineStr">
        <is>
          <t>Prescribed (lbs)</t>
        </is>
      </c>
      <c r="H174" s="52" t="inlineStr">
        <is>
          <t>RPE</t>
        </is>
      </c>
      <c r="I174" s="52" t="inlineStr">
        <is>
          <t>Technique Notes</t>
        </is>
      </c>
      <c r="J174" s="52" t="inlineStr">
        <is>
          <t>Actual Wt</t>
        </is>
      </c>
      <c r="K174" s="52" t="inlineStr">
        <is>
          <t>Reps/Notes</t>
        </is>
      </c>
      <c r="L174" s="52" t="inlineStr">
        <is>
          <t>Done</t>
        </is>
      </c>
    </row>
    <row r="175" ht="22" customHeight="1">
      <c r="A175" s="32" t="n">
        <v>1</v>
      </c>
      <c r="B175" s="53" t="inlineStr">
        <is>
          <t>High-bar squat</t>
        </is>
      </c>
      <c r="C175" s="34" t="inlineStr">
        <is>
          <t>Main</t>
        </is>
      </c>
      <c r="D175" s="28" t="n">
        <v>2</v>
      </c>
      <c r="E175" s="28" t="inlineStr">
        <is>
          <t>2</t>
        </is>
      </c>
      <c r="F175" s="28" t="inlineStr">
        <is>
          <t xml:space="preserve">75% +10# </t>
        </is>
      </c>
      <c r="G175" s="35">
        <f>ROUND('Setup &amp; Dashboard'!$C$7*0.75/5, 0)*5+10</f>
        <v/>
      </c>
      <c r="H175" s="28" t="inlineStr">
        <is>
          <t>@≤8</t>
        </is>
      </c>
      <c r="I175" s="54" t="inlineStr">
        <is>
          <t>Clean reps; no grinding</t>
        </is>
      </c>
      <c r="J175" s="55" t="inlineStr"/>
      <c r="K175" s="55" t="inlineStr"/>
      <c r="L175" s="14" t="inlineStr">
        <is>
          <t>[ ]</t>
        </is>
      </c>
    </row>
    <row r="176" ht="22" customHeight="1">
      <c r="A176" s="32" t="n">
        <v>2</v>
      </c>
      <c r="B176" s="57" t="inlineStr">
        <is>
          <t>Bent-over row</t>
        </is>
      </c>
      <c r="C176" s="32" t="inlineStr">
        <is>
          <t>Acc</t>
        </is>
      </c>
      <c r="D176" s="30" t="n">
        <v>4</v>
      </c>
      <c r="E176" s="30" t="inlineStr">
        <is>
          <t>4-6</t>
        </is>
      </c>
      <c r="F176" s="30" t="inlineStr">
        <is>
          <t>Row +5#</t>
        </is>
      </c>
      <c r="G176" s="35">
        <f>'Setup &amp; Dashboard'!$C$10+(9-1)*5</f>
        <v/>
      </c>
      <c r="H176" s="32" t="inlineStr"/>
      <c r="I176" s="54" t="inlineStr">
        <is>
          <t>4 strict sets. Add 5 lb next exposure only when every set is clean and ≤RPE 8; deload load/reps, no failure.</t>
        </is>
      </c>
      <c r="J176" s="55" t="inlineStr"/>
      <c r="K176" s="55" t="inlineStr"/>
      <c r="L176" s="14" t="inlineStr">
        <is>
          <t>[ ]</t>
        </is>
      </c>
    </row>
    <row r="177" ht="22" customHeight="1">
      <c r="A177" s="32" t="n">
        <v>3</v>
      </c>
      <c r="B177" s="57" t="inlineStr">
        <is>
          <t>Reverse hyper</t>
        </is>
      </c>
      <c r="C177" s="32" t="inlineStr">
        <is>
          <t>Acc</t>
        </is>
      </c>
      <c r="D177" s="30" t="n">
        <v>1</v>
      </c>
      <c r="E177" s="30" t="inlineStr">
        <is>
          <t>10</t>
        </is>
      </c>
      <c r="F177" s="30" t="inlineStr"/>
      <c r="G177" s="32" t="inlineStr"/>
      <c r="H177" s="32" t="inlineStr"/>
      <c r="I177" s="56" t="inlineStr"/>
      <c r="J177" s="55" t="inlineStr"/>
      <c r="K177" s="55" t="inlineStr"/>
      <c r="L177" s="14" t="inlineStr">
        <is>
          <t>[ ]</t>
        </is>
      </c>
    </row>
    <row r="178" ht="22" customHeight="1">
      <c r="A178" s="32" t="n">
        <v>4</v>
      </c>
      <c r="B178" s="57" t="inlineStr">
        <is>
          <t>GHR or Nordic curl</t>
        </is>
      </c>
      <c r="C178" s="32" t="inlineStr">
        <is>
          <t>Acc</t>
        </is>
      </c>
      <c r="D178" s="30" t="n">
        <v>2</v>
      </c>
      <c r="E178" s="30" t="inlineStr">
        <is>
          <t>8</t>
        </is>
      </c>
      <c r="F178" s="30" t="inlineStr"/>
      <c r="G178" s="32" t="inlineStr"/>
      <c r="H178" s="32" t="inlineStr"/>
      <c r="I178" s="56" t="inlineStr"/>
      <c r="J178" s="55" t="inlineStr"/>
      <c r="K178" s="55" t="inlineStr"/>
      <c r="L178" s="14" t="inlineStr">
        <is>
          <t>[ ]</t>
        </is>
      </c>
    </row>
    <row r="179"/>
    <row r="180" ht="26" customHeight="1">
      <c r="A180" s="59" t="inlineStr">
        <is>
          <t>WEEK 10 — DELOAD</t>
        </is>
      </c>
    </row>
    <row r="181" ht="22" customHeight="1">
      <c r="A181" s="50" t="inlineStr">
        <is>
          <t>Day 1 : Monday — Squat</t>
        </is>
      </c>
    </row>
    <row r="182" ht="54" customHeight="1">
      <c r="A182" s="51" t="inlineStr">
        <is>
          <t>💡 Coaching Rationale: This is the second deload. The top single at 60% of max is optional, so skip it if anything feels off. Back-offs are 3x2 at 65%, RPE 6. This week clears the fatigue from three weeks of heavy intensification before the peak.</t>
        </is>
      </c>
    </row>
    <row r="183" ht="22" customHeight="1">
      <c r="A183" s="52" t="inlineStr">
        <is>
          <t>#</t>
        </is>
      </c>
      <c r="B183" s="52" t="inlineStr">
        <is>
          <t>Exercise</t>
        </is>
      </c>
      <c r="C183" s="52" t="inlineStr">
        <is>
          <t>Type</t>
        </is>
      </c>
      <c r="D183" s="52" t="inlineStr">
        <is>
          <t>Sets</t>
        </is>
      </c>
      <c r="E183" s="52" t="inlineStr">
        <is>
          <t>Reps</t>
        </is>
      </c>
      <c r="F183" s="52" t="inlineStr">
        <is>
          <t>% 1RM</t>
        </is>
      </c>
      <c r="G183" s="52" t="inlineStr">
        <is>
          <t>Prescribed (lbs)</t>
        </is>
      </c>
      <c r="H183" s="52" t="inlineStr">
        <is>
          <t>RPE</t>
        </is>
      </c>
      <c r="I183" s="52" t="inlineStr">
        <is>
          <t>Technique Notes</t>
        </is>
      </c>
      <c r="J183" s="52" t="inlineStr">
        <is>
          <t>Actual Wt</t>
        </is>
      </c>
      <c r="K183" s="52" t="inlineStr">
        <is>
          <t>Reps/Notes</t>
        </is>
      </c>
      <c r="L183" s="52" t="inlineStr">
        <is>
          <t>Done</t>
        </is>
      </c>
    </row>
    <row r="184" ht="22" customHeight="1">
      <c r="A184" s="32" t="n">
        <v>1</v>
      </c>
      <c r="B184" s="53" t="inlineStr">
        <is>
          <t>Squat — top single</t>
        </is>
      </c>
      <c r="C184" s="34" t="inlineStr">
        <is>
          <t>Main</t>
        </is>
      </c>
      <c r="D184" s="28" t="n">
        <v>1</v>
      </c>
      <c r="E184" s="28" t="inlineStr">
        <is>
          <t>1</t>
        </is>
      </c>
      <c r="F184" s="28" t="inlineStr">
        <is>
          <t>60%</t>
        </is>
      </c>
      <c r="G184" s="35">
        <f>ROUND('Setup &amp; Dashboard'!$C$7*0.6/5, 0)*5</f>
        <v/>
      </c>
      <c r="H184" s="28" t="inlineStr">
        <is>
          <t>@7-8 cap</t>
        </is>
      </c>
      <c r="I184" s="54" t="inlineStr">
        <is>
          <t>Skip if slow or technically compromised</t>
        </is>
      </c>
      <c r="J184" s="55" t="inlineStr"/>
      <c r="K184" s="55" t="inlineStr"/>
      <c r="L184" s="14" t="inlineStr">
        <is>
          <t>[ ]</t>
        </is>
      </c>
    </row>
    <row r="185" ht="22" customHeight="1">
      <c r="A185" s="32" t="n">
        <v>2</v>
      </c>
      <c r="B185" s="53" t="inlineStr">
        <is>
          <t>Squat — back-off</t>
        </is>
      </c>
      <c r="C185" s="34" t="inlineStr">
        <is>
          <t>Main</t>
        </is>
      </c>
      <c r="D185" s="28" t="n">
        <v>3</v>
      </c>
      <c r="E185" s="28" t="inlineStr">
        <is>
          <t>2</t>
        </is>
      </c>
      <c r="F185" s="28" t="inlineStr">
        <is>
          <t>65%</t>
        </is>
      </c>
      <c r="G185" s="35">
        <f>ROUND('Setup &amp; Dashboard'!$C$7*0.65/5, 0)*5</f>
        <v/>
      </c>
      <c r="H185" s="28" t="inlineStr">
        <is>
          <t>@6</t>
        </is>
      </c>
      <c r="I185" s="54" t="inlineStr">
        <is>
          <t>Deload</t>
        </is>
      </c>
      <c r="J185" s="55" t="inlineStr"/>
      <c r="K185" s="55" t="inlineStr"/>
      <c r="L185" s="14" t="inlineStr">
        <is>
          <t>[ ]</t>
        </is>
      </c>
    </row>
    <row r="186" ht="22" customHeight="1">
      <c r="A186" s="32" t="n">
        <v>3</v>
      </c>
      <c r="B186" s="57" t="inlineStr">
        <is>
          <t>Split squat</t>
        </is>
      </c>
      <c r="C186" s="32" t="inlineStr">
        <is>
          <t>Acc</t>
        </is>
      </c>
      <c r="D186" s="30" t="n">
        <v>2</v>
      </c>
      <c r="E186" s="30" t="inlineStr">
        <is>
          <t>6-8/leg</t>
        </is>
      </c>
      <c r="F186" s="30" t="inlineStr"/>
      <c r="G186" s="32" t="inlineStr"/>
      <c r="H186" s="32" t="inlineStr"/>
      <c r="I186" s="56" t="inlineStr"/>
      <c r="J186" s="55" t="inlineStr"/>
      <c r="K186" s="55" t="inlineStr"/>
      <c r="L186" s="14" t="inlineStr">
        <is>
          <t>[ ]</t>
        </is>
      </c>
    </row>
    <row r="187" ht="22" customHeight="1">
      <c r="A187" s="32" t="n">
        <v>4</v>
      </c>
      <c r="B187" s="57" t="inlineStr">
        <is>
          <t>Leg curl</t>
        </is>
      </c>
      <c r="C187" s="32" t="inlineStr">
        <is>
          <t>Acc</t>
        </is>
      </c>
      <c r="D187" s="30" t="n">
        <v>2</v>
      </c>
      <c r="E187" s="30" t="inlineStr">
        <is>
          <t>8</t>
        </is>
      </c>
      <c r="F187" s="30" t="inlineStr"/>
      <c r="G187" s="32" t="inlineStr"/>
      <c r="H187" s="32" t="inlineStr"/>
      <c r="I187" s="56" t="inlineStr"/>
      <c r="J187" s="55" t="inlineStr"/>
      <c r="K187" s="55" t="inlineStr"/>
      <c r="L187" s="14" t="inlineStr">
        <is>
          <t>[ ]</t>
        </is>
      </c>
    </row>
    <row r="188" ht="22" customHeight="1">
      <c r="A188" s="32" t="n">
        <v>5</v>
      </c>
      <c r="B188" s="57" t="inlineStr">
        <is>
          <t>Copenhagen plank</t>
        </is>
      </c>
      <c r="C188" s="32" t="inlineStr">
        <is>
          <t>Acc</t>
        </is>
      </c>
      <c r="D188" s="30" t="n">
        <v>2</v>
      </c>
      <c r="E188" s="30" t="inlineStr">
        <is>
          <t>15sec/side</t>
        </is>
      </c>
      <c r="F188" s="30" t="inlineStr"/>
      <c r="G188" s="32" t="inlineStr"/>
      <c r="H188" s="32" t="inlineStr"/>
      <c r="I188" s="56" t="inlineStr"/>
      <c r="J188" s="55" t="inlineStr"/>
      <c r="K188" s="55" t="inlineStr"/>
      <c r="L188" s="14" t="inlineStr">
        <is>
          <t>[ ]</t>
        </is>
      </c>
    </row>
    <row r="189"/>
    <row r="190" ht="22" customHeight="1">
      <c r="A190" s="50" t="inlineStr">
        <is>
          <t>Day 2 : Tuesday — Bench</t>
        </is>
      </c>
    </row>
    <row r="191" ht="36" customHeight="1">
      <c r="A191" s="51" t="inlineStr">
        <is>
          <t>💡 Coaching Rationale: Bench drops to 5x2 at 65% of max, RPE 6. The intensity drop has the same purpose as the squat deload.</t>
        </is>
      </c>
    </row>
    <row r="192" ht="22" customHeight="1">
      <c r="A192" s="52" t="inlineStr">
        <is>
          <t>#</t>
        </is>
      </c>
      <c r="B192" s="52" t="inlineStr">
        <is>
          <t>Exercise</t>
        </is>
      </c>
      <c r="C192" s="52" t="inlineStr">
        <is>
          <t>Type</t>
        </is>
      </c>
      <c r="D192" s="52" t="inlineStr">
        <is>
          <t>Sets</t>
        </is>
      </c>
      <c r="E192" s="52" t="inlineStr">
        <is>
          <t>Reps</t>
        </is>
      </c>
      <c r="F192" s="52" t="inlineStr">
        <is>
          <t>% 1RM</t>
        </is>
      </c>
      <c r="G192" s="52" t="inlineStr">
        <is>
          <t>Prescribed (lbs)</t>
        </is>
      </c>
      <c r="H192" s="52" t="inlineStr">
        <is>
          <t>RPE</t>
        </is>
      </c>
      <c r="I192" s="52" t="inlineStr">
        <is>
          <t>Technique Notes</t>
        </is>
      </c>
      <c r="J192" s="52" t="inlineStr">
        <is>
          <t>Actual Wt</t>
        </is>
      </c>
      <c r="K192" s="52" t="inlineStr">
        <is>
          <t>Reps/Notes</t>
        </is>
      </c>
      <c r="L192" s="52" t="inlineStr">
        <is>
          <t>Done</t>
        </is>
      </c>
    </row>
    <row r="193" ht="22" customHeight="1">
      <c r="A193" s="32" t="n">
        <v>1</v>
      </c>
      <c r="B193" s="53" t="inlineStr">
        <is>
          <t>Bench</t>
        </is>
      </c>
      <c r="C193" s="34" t="inlineStr">
        <is>
          <t>Main</t>
        </is>
      </c>
      <c r="D193" s="28" t="n">
        <v>5</v>
      </c>
      <c r="E193" s="28" t="inlineStr">
        <is>
          <t>2</t>
        </is>
      </c>
      <c r="F193" s="28" t="inlineStr">
        <is>
          <t>65%</t>
        </is>
      </c>
      <c r="G193" s="35">
        <f>ROUND('Setup &amp; Dashboard'!$C$8*0.65/5, 0)*5</f>
        <v/>
      </c>
      <c r="H193" s="28" t="inlineStr">
        <is>
          <t>@6</t>
        </is>
      </c>
      <c r="I193" s="56" t="inlineStr"/>
      <c r="J193" s="55" t="inlineStr"/>
      <c r="K193" s="55" t="inlineStr"/>
      <c r="L193" s="14" t="inlineStr">
        <is>
          <t>[ ]</t>
        </is>
      </c>
    </row>
    <row r="194" ht="22" customHeight="1">
      <c r="A194" s="32" t="n">
        <v>2</v>
      </c>
      <c r="B194" s="57" t="inlineStr">
        <is>
          <t>Close-grip bench</t>
        </is>
      </c>
      <c r="C194" s="32" t="inlineStr">
        <is>
          <t>Acc</t>
        </is>
      </c>
      <c r="D194" s="30" t="n">
        <v>2</v>
      </c>
      <c r="E194" s="30" t="inlineStr">
        <is>
          <t>5</t>
        </is>
      </c>
      <c r="F194" s="30" t="inlineStr"/>
      <c r="G194" s="32" t="inlineStr"/>
      <c r="H194" s="32" t="inlineStr"/>
      <c r="I194" s="56" t="inlineStr"/>
      <c r="J194" s="55" t="inlineStr"/>
      <c r="K194" s="55" t="inlineStr"/>
      <c r="L194" s="14" t="inlineStr">
        <is>
          <t>[ ]</t>
        </is>
      </c>
    </row>
    <row r="195" ht="22" customHeight="1">
      <c r="A195" s="32" t="n">
        <v>3</v>
      </c>
      <c r="B195" s="57" t="inlineStr">
        <is>
          <t>Incline DB press</t>
        </is>
      </c>
      <c r="C195" s="32" t="inlineStr">
        <is>
          <t>Acc</t>
        </is>
      </c>
      <c r="D195" s="30" t="n">
        <v>2</v>
      </c>
      <c r="E195" s="30" t="inlineStr">
        <is>
          <t>8</t>
        </is>
      </c>
      <c r="F195" s="30" t="inlineStr"/>
      <c r="G195" s="32" t="inlineStr"/>
      <c r="H195" s="32" t="inlineStr"/>
      <c r="I195" s="56" t="inlineStr"/>
      <c r="J195" s="55" t="inlineStr"/>
      <c r="K195" s="55" t="inlineStr"/>
      <c r="L195" s="14" t="inlineStr">
        <is>
          <t>[ ]</t>
        </is>
      </c>
    </row>
    <row r="196" ht="22" customHeight="1">
      <c r="A196" s="32" t="n">
        <v>4</v>
      </c>
      <c r="B196" s="57" t="inlineStr">
        <is>
          <t>Face pull</t>
        </is>
      </c>
      <c r="C196" s="32" t="inlineStr">
        <is>
          <t>Acc</t>
        </is>
      </c>
      <c r="D196" s="30" t="n">
        <v>2</v>
      </c>
      <c r="E196" s="30" t="inlineStr">
        <is>
          <t>15</t>
        </is>
      </c>
      <c r="F196" s="30" t="inlineStr"/>
      <c r="G196" s="32" t="inlineStr"/>
      <c r="H196" s="32" t="inlineStr"/>
      <c r="I196" s="56" t="inlineStr"/>
      <c r="J196" s="55" t="inlineStr"/>
      <c r="K196" s="55" t="inlineStr"/>
      <c r="L196" s="14" t="inlineStr">
        <is>
          <t>[ ]</t>
        </is>
      </c>
    </row>
    <row r="197" ht="22" customHeight="1">
      <c r="A197" s="32" t="n">
        <v>5</v>
      </c>
      <c r="B197" s="57" t="inlineStr">
        <is>
          <t>Pallof press</t>
        </is>
      </c>
      <c r="C197" s="32" t="inlineStr">
        <is>
          <t>Acc</t>
        </is>
      </c>
      <c r="D197" s="30" t="n">
        <v>2</v>
      </c>
      <c r="E197" s="30" t="inlineStr">
        <is>
          <t>8/side</t>
        </is>
      </c>
      <c r="F197" s="30" t="inlineStr"/>
      <c r="G197" s="32" t="inlineStr"/>
      <c r="H197" s="32" t="inlineStr"/>
      <c r="I197" s="56" t="inlineStr"/>
      <c r="J197" s="55" t="inlineStr"/>
      <c r="K197" s="55" t="inlineStr"/>
      <c r="L197" s="14" t="inlineStr">
        <is>
          <t>[ ]</t>
        </is>
      </c>
    </row>
    <row r="198"/>
    <row r="199" ht="22" customHeight="1">
      <c r="A199" s="50" t="inlineStr">
        <is>
          <t>Day 3 : Thursday — Deadlift</t>
        </is>
      </c>
    </row>
    <row r="200" ht="36" customHeight="1">
      <c r="A200" s="51" t="inlineStr">
        <is>
          <t>💡 Coaching Rationale: Deadlift drops to 60% of max for 2x2. The 1.5-rep deadlift drops to 2x3 at 55% of estimated true max, matching the Week 5 deload.</t>
        </is>
      </c>
    </row>
    <row r="201" ht="22" customHeight="1">
      <c r="A201" s="52" t="inlineStr">
        <is>
          <t>#</t>
        </is>
      </c>
      <c r="B201" s="52" t="inlineStr">
        <is>
          <t>Exercise</t>
        </is>
      </c>
      <c r="C201" s="52" t="inlineStr">
        <is>
          <t>Type</t>
        </is>
      </c>
      <c r="D201" s="52" t="inlineStr">
        <is>
          <t>Sets</t>
        </is>
      </c>
      <c r="E201" s="52" t="inlineStr">
        <is>
          <t>Reps</t>
        </is>
      </c>
      <c r="F201" s="52" t="inlineStr">
        <is>
          <t>% 1RM</t>
        </is>
      </c>
      <c r="G201" s="52" t="inlineStr">
        <is>
          <t>Prescribed (lbs)</t>
        </is>
      </c>
      <c r="H201" s="52" t="inlineStr">
        <is>
          <t>RPE</t>
        </is>
      </c>
      <c r="I201" s="52" t="inlineStr">
        <is>
          <t>Technique Notes</t>
        </is>
      </c>
      <c r="J201" s="52" t="inlineStr">
        <is>
          <t>Actual Wt</t>
        </is>
      </c>
      <c r="K201" s="52" t="inlineStr">
        <is>
          <t>Reps/Notes</t>
        </is>
      </c>
      <c r="L201" s="52" t="inlineStr">
        <is>
          <t>Done</t>
        </is>
      </c>
    </row>
    <row r="202" ht="22" customHeight="1">
      <c r="A202" s="32" t="n">
        <v>1</v>
      </c>
      <c r="B202" s="53" t="inlineStr">
        <is>
          <t>Deadlift</t>
        </is>
      </c>
      <c r="C202" s="34" t="inlineStr">
        <is>
          <t>Main</t>
        </is>
      </c>
      <c r="D202" s="28" t="n">
        <v>2</v>
      </c>
      <c r="E202" s="28" t="inlineStr">
        <is>
          <t>2</t>
        </is>
      </c>
      <c r="F202" s="28" t="inlineStr">
        <is>
          <t>60%</t>
        </is>
      </c>
      <c r="G202" s="35">
        <f>ROUND('Setup &amp; Dashboard'!$C$9*0.6/5, 0)*5</f>
        <v/>
      </c>
      <c r="H202" s="28" t="inlineStr">
        <is>
          <t>@6</t>
        </is>
      </c>
      <c r="I202" s="56" t="inlineStr"/>
      <c r="J202" s="55" t="inlineStr"/>
      <c r="K202" s="55" t="inlineStr"/>
      <c r="L202" s="14" t="inlineStr">
        <is>
          <t>[ ]</t>
        </is>
      </c>
    </row>
    <row r="203" ht="22" customHeight="1">
      <c r="A203" s="32" t="n">
        <v>2</v>
      </c>
      <c r="B203" s="53" t="inlineStr">
        <is>
          <t>1.5-rep deadlift (knee height)</t>
        </is>
      </c>
      <c r="C203" s="34" t="inlineStr">
        <is>
          <t>Main</t>
        </is>
      </c>
      <c r="D203" s="28" t="n">
        <v>2</v>
      </c>
      <c r="E203" s="28" t="inlineStr">
        <is>
          <t>3</t>
        </is>
      </c>
      <c r="F203" s="28" t="inlineStr">
        <is>
          <t>55%</t>
        </is>
      </c>
      <c r="G203" s="35">
        <f>ROUND('Setup &amp; Dashboard'!$C$9*0.55/5, 0)*5</f>
        <v/>
      </c>
      <c r="H203" s="32" t="inlineStr"/>
      <c r="I203" s="54" t="inlineStr">
        <is>
          <t>Reset every rep; lower to just below knee, return to lockout, then lower fully. W1 60% DL max; add +5 lb/week only if clean and ≤RPE 7. Deload: 2x3 @55% max.</t>
        </is>
      </c>
      <c r="J203" s="55" t="inlineStr"/>
      <c r="K203" s="55" t="inlineStr"/>
      <c r="L203" s="14" t="inlineStr">
        <is>
          <t>[ ]</t>
        </is>
      </c>
    </row>
    <row r="204" ht="22" customHeight="1">
      <c r="A204" s="32" t="n">
        <v>3</v>
      </c>
      <c r="B204" s="57" t="inlineStr">
        <is>
          <t>Reverse hyper</t>
        </is>
      </c>
      <c r="C204" s="32" t="inlineStr">
        <is>
          <t>Acc</t>
        </is>
      </c>
      <c r="D204" s="30" t="n">
        <v>2</v>
      </c>
      <c r="E204" s="30" t="inlineStr">
        <is>
          <t>10</t>
        </is>
      </c>
      <c r="F204" s="30" t="inlineStr"/>
      <c r="G204" s="32" t="inlineStr"/>
      <c r="H204" s="32" t="inlineStr"/>
      <c r="I204" s="56" t="inlineStr"/>
      <c r="J204" s="55" t="inlineStr"/>
      <c r="K204" s="55" t="inlineStr"/>
      <c r="L204" s="14" t="inlineStr">
        <is>
          <t>[ ]</t>
        </is>
      </c>
    </row>
    <row r="205" ht="22" customHeight="1">
      <c r="A205" s="32" t="n">
        <v>4</v>
      </c>
      <c r="B205" s="57" t="inlineStr">
        <is>
          <t>Jefferson curl</t>
        </is>
      </c>
      <c r="C205" s="32" t="inlineStr">
        <is>
          <t>Acc</t>
        </is>
      </c>
      <c r="D205" s="30" t="n">
        <v>1</v>
      </c>
      <c r="E205" s="30" t="inlineStr">
        <is>
          <t>6</t>
        </is>
      </c>
      <c r="F205" s="30" t="inlineStr"/>
      <c r="G205" s="32" t="inlineStr"/>
      <c r="H205" s="32" t="inlineStr"/>
      <c r="I205" s="56" t="inlineStr"/>
      <c r="J205" s="55" t="inlineStr"/>
      <c r="K205" s="55" t="inlineStr"/>
      <c r="L205" s="14" t="inlineStr">
        <is>
          <t>[ ]</t>
        </is>
      </c>
    </row>
    <row r="206"/>
    <row r="207" ht="22" customHeight="1">
      <c r="A207" s="50" t="inlineStr">
        <is>
          <t>Day 4 : Friday — Bench variant / upper body</t>
        </is>
      </c>
    </row>
    <row r="208" ht="36" customHeight="1">
      <c r="A208" s="51" t="inlineStr">
        <is>
          <t>💡 Coaching Rationale: Light paused bench at 60% and minimal accessories. The only goal is blood flow and keeping the pattern sharp.</t>
        </is>
      </c>
    </row>
    <row r="209" ht="22" customHeight="1">
      <c r="A209" s="52" t="inlineStr">
        <is>
          <t>#</t>
        </is>
      </c>
      <c r="B209" s="52" t="inlineStr">
        <is>
          <t>Exercise</t>
        </is>
      </c>
      <c r="C209" s="52" t="inlineStr">
        <is>
          <t>Type</t>
        </is>
      </c>
      <c r="D209" s="52" t="inlineStr">
        <is>
          <t>Sets</t>
        </is>
      </c>
      <c r="E209" s="52" t="inlineStr">
        <is>
          <t>Reps</t>
        </is>
      </c>
      <c r="F209" s="52" t="inlineStr">
        <is>
          <t>% 1RM</t>
        </is>
      </c>
      <c r="G209" s="52" t="inlineStr">
        <is>
          <t>Prescribed (lbs)</t>
        </is>
      </c>
      <c r="H209" s="52" t="inlineStr">
        <is>
          <t>RPE</t>
        </is>
      </c>
      <c r="I209" s="52" t="inlineStr">
        <is>
          <t>Technique Notes</t>
        </is>
      </c>
      <c r="J209" s="52" t="inlineStr">
        <is>
          <t>Actual Wt</t>
        </is>
      </c>
      <c r="K209" s="52" t="inlineStr">
        <is>
          <t>Reps/Notes</t>
        </is>
      </c>
      <c r="L209" s="52" t="inlineStr">
        <is>
          <t>Done</t>
        </is>
      </c>
    </row>
    <row r="210" ht="22" customHeight="1">
      <c r="A210" s="32" t="n">
        <v>1</v>
      </c>
      <c r="B210" s="53" t="inlineStr">
        <is>
          <t>Light paused bench</t>
        </is>
      </c>
      <c r="C210" s="34" t="inlineStr">
        <is>
          <t>Main</t>
        </is>
      </c>
      <c r="D210" s="28" t="n">
        <v>3</v>
      </c>
      <c r="E210" s="28" t="inlineStr">
        <is>
          <t>2</t>
        </is>
      </c>
      <c r="F210" s="28" t="inlineStr">
        <is>
          <t>60%</t>
        </is>
      </c>
      <c r="G210" s="35">
        <f>ROUND('Setup &amp; Dashboard'!$C$8*0.6/5, 0)*5</f>
        <v/>
      </c>
      <c r="H210" s="28" t="inlineStr">
        <is>
          <t>@6</t>
        </is>
      </c>
      <c r="I210" s="56" t="inlineStr"/>
      <c r="J210" s="55" t="inlineStr"/>
      <c r="K210" s="55" t="inlineStr"/>
      <c r="L210" s="14" t="inlineStr">
        <is>
          <t>[ ]</t>
        </is>
      </c>
    </row>
    <row r="211" ht="22" customHeight="1">
      <c r="A211" s="32" t="n">
        <v>2</v>
      </c>
      <c r="B211" s="57" t="inlineStr">
        <is>
          <t>Lat pulldown</t>
        </is>
      </c>
      <c r="C211" s="32" t="inlineStr">
        <is>
          <t>Acc</t>
        </is>
      </c>
      <c r="D211" s="30" t="n">
        <v>2</v>
      </c>
      <c r="E211" s="30" t="inlineStr">
        <is>
          <t>10</t>
        </is>
      </c>
      <c r="F211" s="30" t="inlineStr"/>
      <c r="G211" s="32" t="inlineStr"/>
      <c r="H211" s="32" t="inlineStr"/>
      <c r="I211" s="56" t="inlineStr"/>
      <c r="J211" s="55" t="inlineStr"/>
      <c r="K211" s="55" t="inlineStr"/>
      <c r="L211" s="14" t="inlineStr">
        <is>
          <t>[ ]</t>
        </is>
      </c>
    </row>
    <row r="212" ht="22" customHeight="1">
      <c r="A212" s="32" t="n">
        <v>3</v>
      </c>
      <c r="B212" s="57" t="inlineStr">
        <is>
          <t>Lateral raise</t>
        </is>
      </c>
      <c r="C212" s="32" t="inlineStr">
        <is>
          <t>Acc</t>
        </is>
      </c>
      <c r="D212" s="30" t="n">
        <v>2</v>
      </c>
      <c r="E212" s="30" t="inlineStr">
        <is>
          <t>12-15</t>
        </is>
      </c>
      <c r="F212" s="30" t="inlineStr"/>
      <c r="G212" s="32" t="inlineStr"/>
      <c r="H212" s="32" t="inlineStr"/>
      <c r="I212" s="56" t="inlineStr"/>
      <c r="J212" s="55" t="inlineStr"/>
      <c r="K212" s="55" t="inlineStr"/>
      <c r="L212" s="14" t="inlineStr">
        <is>
          <t>[ ]</t>
        </is>
      </c>
    </row>
    <row r="213" ht="22" customHeight="1">
      <c r="A213" s="32" t="n">
        <v>4</v>
      </c>
      <c r="B213" s="57" t="inlineStr">
        <is>
          <t>Curl</t>
        </is>
      </c>
      <c r="C213" s="32" t="inlineStr">
        <is>
          <t>Acc</t>
        </is>
      </c>
      <c r="D213" s="30" t="n">
        <v>2</v>
      </c>
      <c r="E213" s="30" t="inlineStr">
        <is>
          <t>10</t>
        </is>
      </c>
      <c r="F213" s="30" t="inlineStr"/>
      <c r="G213" s="32" t="inlineStr"/>
      <c r="H213" s="32" t="inlineStr"/>
      <c r="I213" s="56" t="inlineStr"/>
      <c r="J213" s="55" t="inlineStr"/>
      <c r="K213" s="55" t="inlineStr"/>
      <c r="L213" s="14" t="inlineStr">
        <is>
          <t>[ ]</t>
        </is>
      </c>
    </row>
    <row r="214"/>
    <row r="215" ht="22" customHeight="1">
      <c r="A215" s="50" t="inlineStr">
        <is>
          <t>Day 5 : Saturday — Squat variant + Bent-over row</t>
        </is>
      </c>
    </row>
    <row r="216" ht="54" customHeight="1">
      <c r="A216" s="51" t="inlineStr">
        <is>
          <t>💡 Coaching Rationale: High-bar squat drops to 2x2 at 60% of max, and rows are easy. By the end of this week you should feel noticeably fresher. If you don't, consider extra rest before Week 11 instead of pushing into it tired.</t>
        </is>
      </c>
    </row>
    <row r="217" ht="22" customHeight="1">
      <c r="A217" s="52" t="inlineStr">
        <is>
          <t>#</t>
        </is>
      </c>
      <c r="B217" s="52" t="inlineStr">
        <is>
          <t>Exercise</t>
        </is>
      </c>
      <c r="C217" s="52" t="inlineStr">
        <is>
          <t>Type</t>
        </is>
      </c>
      <c r="D217" s="52" t="inlineStr">
        <is>
          <t>Sets</t>
        </is>
      </c>
      <c r="E217" s="52" t="inlineStr">
        <is>
          <t>Reps</t>
        </is>
      </c>
      <c r="F217" s="52" t="inlineStr">
        <is>
          <t>% 1RM</t>
        </is>
      </c>
      <c r="G217" s="52" t="inlineStr">
        <is>
          <t>Prescribed (lbs)</t>
        </is>
      </c>
      <c r="H217" s="52" t="inlineStr">
        <is>
          <t>RPE</t>
        </is>
      </c>
      <c r="I217" s="52" t="inlineStr">
        <is>
          <t>Technique Notes</t>
        </is>
      </c>
      <c r="J217" s="52" t="inlineStr">
        <is>
          <t>Actual Wt</t>
        </is>
      </c>
      <c r="K217" s="52" t="inlineStr">
        <is>
          <t>Reps/Notes</t>
        </is>
      </c>
      <c r="L217" s="52" t="inlineStr">
        <is>
          <t>Done</t>
        </is>
      </c>
    </row>
    <row r="218" ht="22" customHeight="1">
      <c r="A218" s="32" t="n">
        <v>1</v>
      </c>
      <c r="B218" s="53" t="inlineStr">
        <is>
          <t>High-bar squat</t>
        </is>
      </c>
      <c r="C218" s="34" t="inlineStr">
        <is>
          <t>Main</t>
        </is>
      </c>
      <c r="D218" s="28" t="n">
        <v>2</v>
      </c>
      <c r="E218" s="28" t="inlineStr">
        <is>
          <t>2</t>
        </is>
      </c>
      <c r="F218" s="28" t="inlineStr">
        <is>
          <t>60%</t>
        </is>
      </c>
      <c r="G218" s="35">
        <f>ROUND('Setup &amp; Dashboard'!$C$7*0.6/5, 0)*5</f>
        <v/>
      </c>
      <c r="H218" s="32" t="inlineStr"/>
      <c r="I218" s="54" t="inlineStr">
        <is>
          <t>Easy deload; reduce fatigue</t>
        </is>
      </c>
      <c r="J218" s="55" t="inlineStr"/>
      <c r="K218" s="55" t="inlineStr"/>
      <c r="L218" s="14" t="inlineStr">
        <is>
          <t>[ ]</t>
        </is>
      </c>
    </row>
    <row r="219" ht="22" customHeight="1">
      <c r="A219" s="32" t="n">
        <v>2</v>
      </c>
      <c r="B219" s="57" t="inlineStr">
        <is>
          <t>Bent-over row</t>
        </is>
      </c>
      <c r="C219" s="32" t="inlineStr">
        <is>
          <t>Acc</t>
        </is>
      </c>
      <c r="D219" s="30" t="n">
        <v>4</v>
      </c>
      <c r="E219" s="30" t="inlineStr">
        <is>
          <t>4-6</t>
        </is>
      </c>
      <c r="F219" s="30" t="inlineStr">
        <is>
          <t>Row +5#</t>
        </is>
      </c>
      <c r="G219" s="35">
        <f>'Setup &amp; Dashboard'!$C$10+(10-1)*5</f>
        <v/>
      </c>
      <c r="H219" s="32" t="inlineStr"/>
      <c r="I219" s="54" t="inlineStr">
        <is>
          <t>4 strict sets. Add 5 lb next exposure only when every set is clean and ≤RPE 8; deload load/reps, no failure.</t>
        </is>
      </c>
      <c r="J219" s="55" t="inlineStr"/>
      <c r="K219" s="55" t="inlineStr"/>
      <c r="L219" s="14" t="inlineStr">
        <is>
          <t>[ ]</t>
        </is>
      </c>
    </row>
    <row r="220" ht="22" customHeight="1">
      <c r="A220" s="32" t="n">
        <v>3</v>
      </c>
      <c r="B220" s="57" t="inlineStr">
        <is>
          <t>Reverse hyper</t>
        </is>
      </c>
      <c r="C220" s="32" t="inlineStr">
        <is>
          <t>Acc</t>
        </is>
      </c>
      <c r="D220" s="30" t="n">
        <v>1</v>
      </c>
      <c r="E220" s="30" t="inlineStr">
        <is>
          <t>10</t>
        </is>
      </c>
      <c r="F220" s="30" t="inlineStr"/>
      <c r="G220" s="32" t="inlineStr"/>
      <c r="H220" s="32" t="inlineStr"/>
      <c r="I220" s="56" t="inlineStr"/>
      <c r="J220" s="55" t="inlineStr"/>
      <c r="K220" s="55" t="inlineStr"/>
      <c r="L220" s="14" t="inlineStr">
        <is>
          <t>[ ]</t>
        </is>
      </c>
    </row>
  </sheetData>
  <mergeCells count="57">
    <mergeCell ref="A172:L172"/>
    <mergeCell ref="A41:L41"/>
    <mergeCell ref="A128:L128"/>
    <mergeCell ref="A137:L137"/>
    <mergeCell ref="A164:L164"/>
    <mergeCell ref="A75:L75"/>
    <mergeCell ref="A84:L84"/>
    <mergeCell ref="A208:L208"/>
    <mergeCell ref="A120:L120"/>
    <mergeCell ref="A136:L136"/>
    <mergeCell ref="A50:L50"/>
    <mergeCell ref="A163:L163"/>
    <mergeCell ref="A2:L2"/>
    <mergeCell ref="A76:L76"/>
    <mergeCell ref="A129:L129"/>
    <mergeCell ref="A85:L85"/>
    <mergeCell ref="A5:L5"/>
    <mergeCell ref="A23:L23"/>
    <mergeCell ref="A32:L32"/>
    <mergeCell ref="A14:L14"/>
    <mergeCell ref="A181:L181"/>
    <mergeCell ref="A215:L215"/>
    <mergeCell ref="A200:L200"/>
    <mergeCell ref="A4:L4"/>
    <mergeCell ref="A180:L180"/>
    <mergeCell ref="A156:L156"/>
    <mergeCell ref="A147:L147"/>
    <mergeCell ref="A199:L199"/>
    <mergeCell ref="A112:L112"/>
    <mergeCell ref="A68:L68"/>
    <mergeCell ref="A190:L190"/>
    <mergeCell ref="A155:L155"/>
    <mergeCell ref="A93:L93"/>
    <mergeCell ref="A111:L111"/>
    <mergeCell ref="A31:L31"/>
    <mergeCell ref="A58:L58"/>
    <mergeCell ref="A102:L102"/>
    <mergeCell ref="A40:L40"/>
    <mergeCell ref="A173:L173"/>
    <mergeCell ref="A67:L67"/>
    <mergeCell ref="A59:L59"/>
    <mergeCell ref="A48:L48"/>
    <mergeCell ref="A92:L92"/>
    <mergeCell ref="A24:L24"/>
    <mergeCell ref="A15:L15"/>
    <mergeCell ref="A191:L191"/>
    <mergeCell ref="A207:L207"/>
    <mergeCell ref="A49:L49"/>
    <mergeCell ref="A138:L138"/>
    <mergeCell ref="A182:L182"/>
    <mergeCell ref="A1:L1"/>
    <mergeCell ref="A94:L94"/>
    <mergeCell ref="A103:L103"/>
    <mergeCell ref="A216:L216"/>
    <mergeCell ref="A6:L6"/>
    <mergeCell ref="A119:L119"/>
    <mergeCell ref="A146:L14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5"/>
  <sheetViews>
    <sheetView showGridLines="1" workbookViewId="0">
      <selection activeCell="A1" sqref="A1"/>
    </sheetView>
  </sheetViews>
  <sheetFormatPr baseColWidth="8" defaultRowHeight="15" outlineLevelCol="0"/>
  <cols>
    <col width="5" customWidth="1" min="1" max="1"/>
    <col width="33" customWidth="1" min="2" max="2"/>
    <col width="10" customWidth="1" min="3" max="3"/>
    <col width="8" customWidth="1" min="4" max="4"/>
    <col width="13" customWidth="1" min="5" max="5"/>
    <col width="12" customWidth="1" min="6" max="6"/>
    <col width="50" customWidth="1" min="7" max="7"/>
    <col width="11" customWidth="1" min="8" max="8"/>
    <col width="160" customWidth="1" min="9" max="9"/>
    <col width="14" customWidth="1" min="10" max="10"/>
    <col width="20" customWidth="1" min="11" max="11"/>
    <col width="8" customWidth="1" min="12" max="12"/>
  </cols>
  <sheetData>
    <row r="1" ht="30" customHeight="1">
      <c r="A1" s="1" t="inlineStr">
        <is>
          <t>CHIKO_LIFTS : BLOCK 3 (W11-12) (WEEKS 11–12)</t>
        </is>
      </c>
    </row>
    <row r="2" ht="20" customHeight="1">
      <c r="A2" s="2" t="inlineStr">
        <is>
          <t>Neuromuscular Realization, Heavy Singles Prep &amp; Pre-Meet Sharpening Taper</t>
        </is>
      </c>
    </row>
    <row r="3"/>
    <row r="4" ht="26" customHeight="1">
      <c r="A4" s="62" t="inlineStr">
        <is>
          <t>WEEK 11 — PEAK / REALIZATION</t>
        </is>
      </c>
    </row>
    <row r="5" ht="22" customHeight="1">
      <c r="A5" s="50" t="inlineStr">
        <is>
          <t>Day 1 : Monday — Squat</t>
        </is>
      </c>
    </row>
    <row r="6" ht="54" customHeight="1">
      <c r="A6" s="51" t="inlineStr">
        <is>
          <t>💡 Coaching Rationale: Peak week starts with a true heavy single at 90% of max, RPE 8-9, then 2 crisp back-off singles at 82%, RPE 6-7. The singles keep your nervous system sharp without the fatigue of real volume.</t>
        </is>
      </c>
    </row>
    <row r="7" ht="22" customHeight="1">
      <c r="A7" s="52" t="inlineStr">
        <is>
          <t>#</t>
        </is>
      </c>
      <c r="B7" s="52" t="inlineStr">
        <is>
          <t>Exercise</t>
        </is>
      </c>
      <c r="C7" s="52" t="inlineStr">
        <is>
          <t>Type</t>
        </is>
      </c>
      <c r="D7" s="52" t="inlineStr">
        <is>
          <t>Sets</t>
        </is>
      </c>
      <c r="E7" s="52" t="inlineStr">
        <is>
          <t>Reps</t>
        </is>
      </c>
      <c r="F7" s="52" t="inlineStr">
        <is>
          <t>% 1RM</t>
        </is>
      </c>
      <c r="G7" s="52" t="inlineStr">
        <is>
          <t>Prescribed (lbs)</t>
        </is>
      </c>
      <c r="H7" s="52" t="inlineStr">
        <is>
          <t>RPE</t>
        </is>
      </c>
      <c r="I7" s="52" t="inlineStr">
        <is>
          <t>Technique Notes</t>
        </is>
      </c>
      <c r="J7" s="52" t="inlineStr">
        <is>
          <t>Actual Wt</t>
        </is>
      </c>
      <c r="K7" s="52" t="inlineStr">
        <is>
          <t>Reps/Notes</t>
        </is>
      </c>
      <c r="L7" s="52" t="inlineStr">
        <is>
          <t>Done</t>
        </is>
      </c>
    </row>
    <row r="8" ht="22" customHeight="1">
      <c r="A8" s="32" t="n">
        <v>1</v>
      </c>
      <c r="B8" s="53" t="inlineStr">
        <is>
          <t>Squat — top single</t>
        </is>
      </c>
      <c r="C8" s="34" t="inlineStr">
        <is>
          <t>Main</t>
        </is>
      </c>
      <c r="D8" s="28" t="n">
        <v>1</v>
      </c>
      <c r="E8" s="28" t="inlineStr">
        <is>
          <t>1</t>
        </is>
      </c>
      <c r="F8" s="28" t="inlineStr">
        <is>
          <t>90%</t>
        </is>
      </c>
      <c r="G8" s="35">
        <f>ROUND('Setup &amp; Dashboard'!$C$7*0.9/5, 0)*5</f>
        <v/>
      </c>
      <c r="H8" s="28" t="inlineStr">
        <is>
          <t>@8-9</t>
        </is>
      </c>
      <c r="I8" s="56" t="inlineStr"/>
      <c r="J8" s="55" t="inlineStr"/>
      <c r="K8" s="55" t="inlineStr"/>
      <c r="L8" s="14" t="inlineStr">
        <is>
          <t>[ ]</t>
        </is>
      </c>
    </row>
    <row r="9" ht="22" customHeight="1">
      <c r="A9" s="32" t="n">
        <v>2</v>
      </c>
      <c r="B9" s="53" t="inlineStr">
        <is>
          <t>Squat — back-off</t>
        </is>
      </c>
      <c r="C9" s="34" t="inlineStr">
        <is>
          <t>Main</t>
        </is>
      </c>
      <c r="D9" s="28" t="n">
        <v>2</v>
      </c>
      <c r="E9" s="28" t="inlineStr">
        <is>
          <t>1</t>
        </is>
      </c>
      <c r="F9" s="28" t="inlineStr">
        <is>
          <t>82%</t>
        </is>
      </c>
      <c r="G9" s="35">
        <f>ROUND('Setup &amp; Dashboard'!$C$7*0.82/5, 0)*5</f>
        <v/>
      </c>
      <c r="H9" s="28" t="inlineStr">
        <is>
          <t>@6-7</t>
        </is>
      </c>
      <c r="I9" s="54" t="inlineStr">
        <is>
          <t>Crisp</t>
        </is>
      </c>
      <c r="J9" s="55" t="inlineStr"/>
      <c r="K9" s="55" t="inlineStr"/>
      <c r="L9" s="14" t="inlineStr">
        <is>
          <t>[ ]</t>
        </is>
      </c>
    </row>
    <row r="10" ht="22" customHeight="1">
      <c r="A10" s="32" t="n">
        <v>3</v>
      </c>
      <c r="B10" s="57" t="inlineStr">
        <is>
          <t>Copenhagen plank</t>
        </is>
      </c>
      <c r="C10" s="32" t="inlineStr">
        <is>
          <t>Acc</t>
        </is>
      </c>
      <c r="D10" s="30" t="n">
        <v>2</v>
      </c>
      <c r="E10" s="30" t="inlineStr">
        <is>
          <t>15sec/side</t>
        </is>
      </c>
      <c r="F10" s="30" t="inlineStr"/>
      <c r="G10" s="32" t="inlineStr"/>
      <c r="H10" s="32" t="inlineStr"/>
      <c r="I10" s="56" t="inlineStr"/>
      <c r="J10" s="55" t="inlineStr"/>
      <c r="K10" s="55" t="inlineStr"/>
      <c r="L10" s="14" t="inlineStr">
        <is>
          <t>[ ]</t>
        </is>
      </c>
    </row>
    <row r="11" ht="22" customHeight="1">
      <c r="A11" s="32" t="n">
        <v>4</v>
      </c>
      <c r="B11" s="57" t="inlineStr">
        <is>
          <t>Pallof press</t>
        </is>
      </c>
      <c r="C11" s="32" t="inlineStr">
        <is>
          <t>Acc</t>
        </is>
      </c>
      <c r="D11" s="30" t="n">
        <v>2</v>
      </c>
      <c r="E11" s="30" t="inlineStr">
        <is>
          <t>8/side</t>
        </is>
      </c>
      <c r="F11" s="30" t="inlineStr"/>
      <c r="G11" s="32" t="inlineStr"/>
      <c r="H11" s="32" t="inlineStr"/>
      <c r="I11" s="56" t="inlineStr"/>
      <c r="J11" s="55" t="inlineStr"/>
      <c r="K11" s="55" t="inlineStr"/>
      <c r="L11" s="14" t="inlineStr">
        <is>
          <t>[ ]</t>
        </is>
      </c>
    </row>
    <row r="12"/>
    <row r="13" ht="22" customHeight="1">
      <c r="A13" s="50" t="inlineStr">
        <is>
          <t>Day 2 : Tuesday — Bench</t>
        </is>
      </c>
    </row>
    <row r="14" ht="54" customHeight="1">
      <c r="A14" s="51" t="inlineStr">
        <is>
          <t>💡 Coaching Rationale: Bench now gets its own top single at 90% of max (RPE 8-9 cap), then 4 back-off singles at 82%. That's two more back-off sets than the original 2x1 because bench recovers fastest. Stop the back-offs if bar speed drops.</t>
        </is>
      </c>
    </row>
    <row r="15" ht="22" customHeight="1">
      <c r="A15" s="52" t="inlineStr">
        <is>
          <t>#</t>
        </is>
      </c>
      <c r="B15" s="52" t="inlineStr">
        <is>
          <t>Exercise</t>
        </is>
      </c>
      <c r="C15" s="52" t="inlineStr">
        <is>
          <t>Type</t>
        </is>
      </c>
      <c r="D15" s="52" t="inlineStr">
        <is>
          <t>Sets</t>
        </is>
      </c>
      <c r="E15" s="52" t="inlineStr">
        <is>
          <t>Reps</t>
        </is>
      </c>
      <c r="F15" s="52" t="inlineStr">
        <is>
          <t>% 1RM</t>
        </is>
      </c>
      <c r="G15" s="52" t="inlineStr">
        <is>
          <t>Prescribed (lbs)</t>
        </is>
      </c>
      <c r="H15" s="52" t="inlineStr">
        <is>
          <t>RPE</t>
        </is>
      </c>
      <c r="I15" s="52" t="inlineStr">
        <is>
          <t>Technique Notes</t>
        </is>
      </c>
      <c r="J15" s="52" t="inlineStr">
        <is>
          <t>Actual Wt</t>
        </is>
      </c>
      <c r="K15" s="52" t="inlineStr">
        <is>
          <t>Reps/Notes</t>
        </is>
      </c>
      <c r="L15" s="52" t="inlineStr">
        <is>
          <t>Done</t>
        </is>
      </c>
    </row>
    <row r="16" ht="22" customHeight="1">
      <c r="A16" s="32" t="n">
        <v>1</v>
      </c>
      <c r="B16" s="53" t="inlineStr">
        <is>
          <t>Bench — top single</t>
        </is>
      </c>
      <c r="C16" s="34" t="inlineStr">
        <is>
          <t>Main</t>
        </is>
      </c>
      <c r="D16" s="28" t="n">
        <v>1</v>
      </c>
      <c r="E16" s="28" t="inlineStr">
        <is>
          <t>1</t>
        </is>
      </c>
      <c r="F16" s="28" t="inlineStr">
        <is>
          <t>90%</t>
        </is>
      </c>
      <c r="G16" s="35">
        <f>ROUND('Setup &amp; Dashboard'!$C$8*0.9/5, 0)*5</f>
        <v/>
      </c>
      <c r="H16" s="28" t="inlineStr">
        <is>
          <t>@8-9 cap</t>
        </is>
      </c>
      <c r="I16" s="56" t="inlineStr"/>
      <c r="J16" s="55" t="inlineStr"/>
      <c r="K16" s="55" t="inlineStr"/>
      <c r="L16" s="14" t="inlineStr">
        <is>
          <t>[ ]</t>
        </is>
      </c>
    </row>
    <row r="17" ht="22" customHeight="1">
      <c r="A17" s="32" t="n">
        <v>2</v>
      </c>
      <c r="B17" s="53" t="inlineStr">
        <is>
          <t>Bench — back-off</t>
        </is>
      </c>
      <c r="C17" s="34" t="inlineStr">
        <is>
          <t>Main</t>
        </is>
      </c>
      <c r="D17" s="28" t="n">
        <v>4</v>
      </c>
      <c r="E17" s="28" t="inlineStr">
        <is>
          <t>1</t>
        </is>
      </c>
      <c r="F17" s="28" t="inlineStr">
        <is>
          <t>82%</t>
        </is>
      </c>
      <c r="G17" s="35">
        <f>ROUND('Setup &amp; Dashboard'!$C$8*0.82/5, 0)*5</f>
        <v/>
      </c>
      <c r="H17" s="32" t="inlineStr"/>
      <c r="I17" s="54" t="inlineStr">
        <is>
          <t>Crisp reps, stop if speed drops</t>
        </is>
      </c>
      <c r="J17" s="55" t="inlineStr"/>
      <c r="K17" s="55" t="inlineStr"/>
      <c r="L17" s="14" t="inlineStr">
        <is>
          <t>[ ]</t>
        </is>
      </c>
    </row>
    <row r="18" ht="22" customHeight="1">
      <c r="A18" s="32" t="n">
        <v>3</v>
      </c>
      <c r="B18" s="57" t="inlineStr">
        <is>
          <t>Close-grip bench</t>
        </is>
      </c>
      <c r="C18" s="32" t="inlineStr">
        <is>
          <t>Acc</t>
        </is>
      </c>
      <c r="D18" s="30" t="n">
        <v>2</v>
      </c>
      <c r="E18" s="30" t="inlineStr">
        <is>
          <t>3</t>
        </is>
      </c>
      <c r="F18" s="30" t="inlineStr"/>
      <c r="G18" s="32" t="inlineStr"/>
      <c r="H18" s="32" t="inlineStr"/>
      <c r="I18" s="56" t="inlineStr"/>
      <c r="J18" s="55" t="inlineStr"/>
      <c r="K18" s="55" t="inlineStr"/>
      <c r="L18" s="14" t="inlineStr">
        <is>
          <t>[ ]</t>
        </is>
      </c>
    </row>
    <row r="19" ht="22" customHeight="1">
      <c r="A19" s="32" t="n">
        <v>4</v>
      </c>
      <c r="B19" s="57" t="inlineStr">
        <is>
          <t>Face pull</t>
        </is>
      </c>
      <c r="C19" s="32" t="inlineStr">
        <is>
          <t>Acc</t>
        </is>
      </c>
      <c r="D19" s="30" t="n">
        <v>2</v>
      </c>
      <c r="E19" s="30" t="inlineStr">
        <is>
          <t>15</t>
        </is>
      </c>
      <c r="F19" s="30" t="inlineStr"/>
      <c r="G19" s="32" t="inlineStr"/>
      <c r="H19" s="32" t="inlineStr"/>
      <c r="I19" s="56" t="inlineStr"/>
      <c r="J19" s="55" t="inlineStr"/>
      <c r="K19" s="55" t="inlineStr"/>
      <c r="L19" s="14" t="inlineStr">
        <is>
          <t>[ ]</t>
        </is>
      </c>
    </row>
    <row r="20"/>
    <row r="21" ht="22" customHeight="1">
      <c r="A21" s="50" t="inlineStr">
        <is>
          <t>Day 3 : Thursday — Deadlift</t>
        </is>
      </c>
    </row>
    <row r="22" ht="36" customHeight="1">
      <c r="A22" s="51" t="inlineStr">
        <is>
          <t>💡 Coaching Rationale: One heavy deadlift single at 88%, RPE 8-9. The 1.5-rep deadlift continues at base + 50 lb for 3x3. Hold the weight or cut a set if the single was hard, because test week is close.</t>
        </is>
      </c>
    </row>
    <row r="23" ht="22" customHeight="1">
      <c r="A23" s="52" t="inlineStr">
        <is>
          <t>#</t>
        </is>
      </c>
      <c r="B23" s="52" t="inlineStr">
        <is>
          <t>Exercise</t>
        </is>
      </c>
      <c r="C23" s="52" t="inlineStr">
        <is>
          <t>Type</t>
        </is>
      </c>
      <c r="D23" s="52" t="inlineStr">
        <is>
          <t>Sets</t>
        </is>
      </c>
      <c r="E23" s="52" t="inlineStr">
        <is>
          <t>Reps</t>
        </is>
      </c>
      <c r="F23" s="52" t="inlineStr">
        <is>
          <t>% 1RM</t>
        </is>
      </c>
      <c r="G23" s="52" t="inlineStr">
        <is>
          <t>Prescribed (lbs)</t>
        </is>
      </c>
      <c r="H23" s="52" t="inlineStr">
        <is>
          <t>RPE</t>
        </is>
      </c>
      <c r="I23" s="52" t="inlineStr">
        <is>
          <t>Technique Notes</t>
        </is>
      </c>
      <c r="J23" s="52" t="inlineStr">
        <is>
          <t>Actual Wt</t>
        </is>
      </c>
      <c r="K23" s="52" t="inlineStr">
        <is>
          <t>Reps/Notes</t>
        </is>
      </c>
      <c r="L23" s="52" t="inlineStr">
        <is>
          <t>Done</t>
        </is>
      </c>
    </row>
    <row r="24" ht="22" customHeight="1">
      <c r="A24" s="32" t="n">
        <v>1</v>
      </c>
      <c r="B24" s="53" t="inlineStr">
        <is>
          <t>Deadlift</t>
        </is>
      </c>
      <c r="C24" s="34" t="inlineStr">
        <is>
          <t>Main</t>
        </is>
      </c>
      <c r="D24" s="28" t="n">
        <v>1</v>
      </c>
      <c r="E24" s="28" t="inlineStr">
        <is>
          <t>1</t>
        </is>
      </c>
      <c r="F24" s="28" t="inlineStr">
        <is>
          <t>88%</t>
        </is>
      </c>
      <c r="G24" s="35">
        <f>ROUND('Setup &amp; Dashboard'!$C$9*0.88/5, 0)*5</f>
        <v/>
      </c>
      <c r="H24" s="28" t="inlineStr">
        <is>
          <t>@8-9</t>
        </is>
      </c>
      <c r="I24" s="56" t="inlineStr"/>
      <c r="J24" s="55" t="inlineStr"/>
      <c r="K24" s="55" t="inlineStr"/>
      <c r="L24" s="14" t="inlineStr">
        <is>
          <t>[ ]</t>
        </is>
      </c>
    </row>
    <row r="25" ht="22" customHeight="1">
      <c r="A25" s="32" t="n">
        <v>2</v>
      </c>
      <c r="B25" s="53" t="inlineStr">
        <is>
          <t>1.5-rep deadlift (knee height)</t>
        </is>
      </c>
      <c r="C25" s="34" t="inlineStr">
        <is>
          <t>Main</t>
        </is>
      </c>
      <c r="D25" s="28" t="n">
        <v>3</v>
      </c>
      <c r="E25" s="28" t="inlineStr">
        <is>
          <t>3</t>
        </is>
      </c>
      <c r="F25" s="28" t="inlineStr">
        <is>
          <t xml:space="preserve">60% +50# </t>
        </is>
      </c>
      <c r="G25" s="35">
        <f>ROUND('Setup &amp; Dashboard'!$C$9*0.6/5, 0)*5+50</f>
        <v/>
      </c>
      <c r="H25" s="32" t="inlineStr"/>
      <c r="I25" s="54" t="inlineStr">
        <is>
          <t>Reset every rep; lower to just below knee, return to lockout, then lower fully. W1 60% DL max; add +5 lb/week only if clean and ≤RPE 7. Deload: 2x3 @55% max.</t>
        </is>
      </c>
      <c r="J25" s="55" t="inlineStr"/>
      <c r="K25" s="55" t="inlineStr"/>
      <c r="L25" s="14" t="inlineStr">
        <is>
          <t>[ ]</t>
        </is>
      </c>
    </row>
    <row r="26" ht="22" customHeight="1">
      <c r="A26" s="32" t="n">
        <v>3</v>
      </c>
      <c r="B26" s="57" t="inlineStr">
        <is>
          <t>Reverse hyper</t>
        </is>
      </c>
      <c r="C26" s="32" t="inlineStr">
        <is>
          <t>Acc</t>
        </is>
      </c>
      <c r="D26" s="30" t="n">
        <v>2</v>
      </c>
      <c r="E26" s="30" t="inlineStr">
        <is>
          <t>10</t>
        </is>
      </c>
      <c r="F26" s="30" t="inlineStr"/>
      <c r="G26" s="32" t="inlineStr"/>
      <c r="H26" s="32" t="inlineStr"/>
      <c r="I26" s="56" t="inlineStr"/>
      <c r="J26" s="55" t="inlineStr"/>
      <c r="K26" s="55" t="inlineStr"/>
      <c r="L26" s="14" t="inlineStr">
        <is>
          <t>[ ]</t>
        </is>
      </c>
    </row>
    <row r="27"/>
    <row r="28" ht="22" customHeight="1">
      <c r="A28" s="50" t="inlineStr">
        <is>
          <t>Day 4 : Friday — Bench variant / upper body</t>
        </is>
      </c>
    </row>
    <row r="29" ht="36" customHeight="1">
      <c r="A29" s="51" t="inlineStr">
        <is>
          <t>💡 Coaching Rationale: Competition-style bench at 75%, lighter than Week 9's version. As testing gets closer, every non-peak day should get easier.</t>
        </is>
      </c>
    </row>
    <row r="30" ht="22" customHeight="1">
      <c r="A30" s="52" t="inlineStr">
        <is>
          <t>#</t>
        </is>
      </c>
      <c r="B30" s="52" t="inlineStr">
        <is>
          <t>Exercise</t>
        </is>
      </c>
      <c r="C30" s="52" t="inlineStr">
        <is>
          <t>Type</t>
        </is>
      </c>
      <c r="D30" s="52" t="inlineStr">
        <is>
          <t>Sets</t>
        </is>
      </c>
      <c r="E30" s="52" t="inlineStr">
        <is>
          <t>Reps</t>
        </is>
      </c>
      <c r="F30" s="52" t="inlineStr">
        <is>
          <t>% 1RM</t>
        </is>
      </c>
      <c r="G30" s="52" t="inlineStr">
        <is>
          <t>Prescribed (lbs)</t>
        </is>
      </c>
      <c r="H30" s="52" t="inlineStr">
        <is>
          <t>RPE</t>
        </is>
      </c>
      <c r="I30" s="52" t="inlineStr">
        <is>
          <t>Technique Notes</t>
        </is>
      </c>
      <c r="J30" s="52" t="inlineStr">
        <is>
          <t>Actual Wt</t>
        </is>
      </c>
      <c r="K30" s="52" t="inlineStr">
        <is>
          <t>Reps/Notes</t>
        </is>
      </c>
      <c r="L30" s="52" t="inlineStr">
        <is>
          <t>Done</t>
        </is>
      </c>
    </row>
    <row r="31" ht="22" customHeight="1">
      <c r="A31" s="32" t="n">
        <v>1</v>
      </c>
      <c r="B31" s="53" t="inlineStr">
        <is>
          <t>Competition-style bench</t>
        </is>
      </c>
      <c r="C31" s="34" t="inlineStr">
        <is>
          <t>Main</t>
        </is>
      </c>
      <c r="D31" s="28" t="n">
        <v>2</v>
      </c>
      <c r="E31" s="28" t="inlineStr">
        <is>
          <t>2</t>
        </is>
      </c>
      <c r="F31" s="28" t="inlineStr">
        <is>
          <t>75%</t>
        </is>
      </c>
      <c r="G31" s="35">
        <f>ROUND('Setup &amp; Dashboard'!$C$8*0.75/5, 0)*5</f>
        <v/>
      </c>
      <c r="H31" s="28" t="inlineStr">
        <is>
          <t>@7</t>
        </is>
      </c>
      <c r="I31" s="56" t="inlineStr"/>
      <c r="J31" s="55" t="inlineStr"/>
      <c r="K31" s="55" t="inlineStr"/>
      <c r="L31" s="14" t="inlineStr">
        <is>
          <t>[ ]</t>
        </is>
      </c>
    </row>
    <row r="32" ht="22" customHeight="1">
      <c r="A32" s="32" t="n">
        <v>2</v>
      </c>
      <c r="B32" s="57" t="inlineStr">
        <is>
          <t>Lat pulldown</t>
        </is>
      </c>
      <c r="C32" s="32" t="inlineStr">
        <is>
          <t>Acc</t>
        </is>
      </c>
      <c r="D32" s="30" t="n">
        <v>2</v>
      </c>
      <c r="E32" s="30" t="inlineStr">
        <is>
          <t>8-10</t>
        </is>
      </c>
      <c r="F32" s="30" t="inlineStr"/>
      <c r="G32" s="32" t="inlineStr"/>
      <c r="H32" s="32" t="inlineStr"/>
      <c r="I32" s="56" t="inlineStr"/>
      <c r="J32" s="55" t="inlineStr"/>
      <c r="K32" s="55" t="inlineStr"/>
      <c r="L32" s="14" t="inlineStr">
        <is>
          <t>[ ]</t>
        </is>
      </c>
    </row>
    <row r="33" ht="22" customHeight="1">
      <c r="A33" s="32" t="n">
        <v>3</v>
      </c>
      <c r="B33" s="57" t="inlineStr">
        <is>
          <t>Lateral raise</t>
        </is>
      </c>
      <c r="C33" s="32" t="inlineStr">
        <is>
          <t>Acc</t>
        </is>
      </c>
      <c r="D33" s="30" t="n">
        <v>2</v>
      </c>
      <c r="E33" s="30" t="inlineStr">
        <is>
          <t>12-15</t>
        </is>
      </c>
      <c r="F33" s="30" t="inlineStr"/>
      <c r="G33" s="32" t="inlineStr"/>
      <c r="H33" s="32" t="inlineStr"/>
      <c r="I33" s="56" t="inlineStr"/>
      <c r="J33" s="55" t="inlineStr"/>
      <c r="K33" s="55" t="inlineStr"/>
      <c r="L33" s="14" t="inlineStr">
        <is>
          <t>[ ]</t>
        </is>
      </c>
    </row>
    <row r="34"/>
    <row r="35" ht="22" customHeight="1">
      <c r="A35" s="50" t="inlineStr">
        <is>
          <t>Day 5 : Saturday — Squat variant + Bent-over row</t>
        </is>
      </c>
    </row>
    <row r="36" ht="36" customHeight="1">
      <c r="A36" s="51" t="inlineStr">
        <is>
          <t>💡 Coaching Rationale: High-bar squat resumes progression at base + 15 lb for 2x2. Rows continue, kept clean and well short of failure.</t>
        </is>
      </c>
    </row>
    <row r="37" ht="22" customHeight="1">
      <c r="A37" s="52" t="inlineStr">
        <is>
          <t>#</t>
        </is>
      </c>
      <c r="B37" s="52" t="inlineStr">
        <is>
          <t>Exercise</t>
        </is>
      </c>
      <c r="C37" s="52" t="inlineStr">
        <is>
          <t>Type</t>
        </is>
      </c>
      <c r="D37" s="52" t="inlineStr">
        <is>
          <t>Sets</t>
        </is>
      </c>
      <c r="E37" s="52" t="inlineStr">
        <is>
          <t>Reps</t>
        </is>
      </c>
      <c r="F37" s="52" t="inlineStr">
        <is>
          <t>% 1RM</t>
        </is>
      </c>
      <c r="G37" s="52" t="inlineStr">
        <is>
          <t>Prescribed (lbs)</t>
        </is>
      </c>
      <c r="H37" s="52" t="inlineStr">
        <is>
          <t>RPE</t>
        </is>
      </c>
      <c r="I37" s="52" t="inlineStr">
        <is>
          <t>Technique Notes</t>
        </is>
      </c>
      <c r="J37" s="52" t="inlineStr">
        <is>
          <t>Actual Wt</t>
        </is>
      </c>
      <c r="K37" s="52" t="inlineStr">
        <is>
          <t>Reps/Notes</t>
        </is>
      </c>
      <c r="L37" s="52" t="inlineStr">
        <is>
          <t>Done</t>
        </is>
      </c>
    </row>
    <row r="38" ht="22" customHeight="1">
      <c r="A38" s="32" t="n">
        <v>1</v>
      </c>
      <c r="B38" s="53" t="inlineStr">
        <is>
          <t>High-bar squat</t>
        </is>
      </c>
      <c r="C38" s="34" t="inlineStr">
        <is>
          <t>Main</t>
        </is>
      </c>
      <c r="D38" s="28" t="n">
        <v>2</v>
      </c>
      <c r="E38" s="28" t="inlineStr">
        <is>
          <t>2</t>
        </is>
      </c>
      <c r="F38" s="28" t="inlineStr">
        <is>
          <t xml:space="preserve">75% +15# </t>
        </is>
      </c>
      <c r="G38" s="35">
        <f>ROUND('Setup &amp; Dashboard'!$C$7*0.75/5, 0)*5+15</f>
        <v/>
      </c>
      <c r="H38" s="28" t="inlineStr">
        <is>
          <t>@≤8</t>
        </is>
      </c>
      <c r="I38" s="54" t="inlineStr">
        <is>
          <t>Clean reps; no grinding</t>
        </is>
      </c>
      <c r="J38" s="55" t="inlineStr"/>
      <c r="K38" s="55" t="inlineStr"/>
      <c r="L38" s="14" t="inlineStr">
        <is>
          <t>[ ]</t>
        </is>
      </c>
    </row>
    <row r="39" ht="22" customHeight="1">
      <c r="A39" s="32" t="n">
        <v>2</v>
      </c>
      <c r="B39" s="57" t="inlineStr">
        <is>
          <t>Bent-over row</t>
        </is>
      </c>
      <c r="C39" s="32" t="inlineStr">
        <is>
          <t>Acc</t>
        </is>
      </c>
      <c r="D39" s="30" t="n">
        <v>4</v>
      </c>
      <c r="E39" s="30" t="inlineStr">
        <is>
          <t>4-6</t>
        </is>
      </c>
      <c r="F39" s="30" t="inlineStr">
        <is>
          <t>Row +5#</t>
        </is>
      </c>
      <c r="G39" s="35">
        <f>'Setup &amp; Dashboard'!$C$10+(11-1)*5</f>
        <v/>
      </c>
      <c r="H39" s="32" t="inlineStr"/>
      <c r="I39" s="54" t="inlineStr">
        <is>
          <t>4 strict sets. Add 5 lb next exposure only when every set is clean and ≤RPE 8; deload load/reps, no failure.</t>
        </is>
      </c>
      <c r="J39" s="55" t="inlineStr"/>
      <c r="K39" s="55" t="inlineStr"/>
      <c r="L39" s="14" t="inlineStr">
        <is>
          <t>[ ]</t>
        </is>
      </c>
    </row>
    <row r="40" ht="22" customHeight="1">
      <c r="A40" s="32" t="n">
        <v>3</v>
      </c>
      <c r="B40" s="57" t="inlineStr">
        <is>
          <t>Reverse hyper</t>
        </is>
      </c>
      <c r="C40" s="32" t="inlineStr">
        <is>
          <t>Acc</t>
        </is>
      </c>
      <c r="D40" s="30" t="n">
        <v>1</v>
      </c>
      <c r="E40" s="30" t="inlineStr">
        <is>
          <t>10</t>
        </is>
      </c>
      <c r="F40" s="30" t="inlineStr"/>
      <c r="G40" s="32" t="inlineStr"/>
      <c r="H40" s="32" t="inlineStr"/>
      <c r="I40" s="56" t="inlineStr"/>
      <c r="J40" s="55" t="inlineStr"/>
      <c r="K40" s="55" t="inlineStr"/>
      <c r="L40" s="14" t="inlineStr">
        <is>
          <t>[ ]</t>
        </is>
      </c>
    </row>
    <row r="41"/>
    <row r="42" ht="26" customHeight="1">
      <c r="A42" s="63" t="inlineStr">
        <is>
          <t>WEEK 12 — TAPER</t>
        </is>
      </c>
    </row>
    <row r="43" ht="22" customHeight="1">
      <c r="A43" s="50" t="inlineStr">
        <is>
          <t>Day 1 : Monday — Squat</t>
        </is>
      </c>
    </row>
    <row r="44" ht="72" customHeight="1">
      <c r="A44" s="51" t="inlineStr">
        <is>
          <t>💡 Coaching Rationale: Taper week. The top single is capped at RPE 7 (80% of max) and should be crisp only. The 2 back-off singles at 82% are taper volume at RPE 6-7. Note: the back-off singles are prescribed slightly heavier than the top single. Nothing here is a max effort. The goal is to stay sharp while fatigue drops.</t>
        </is>
      </c>
    </row>
    <row r="45" ht="22" customHeight="1">
      <c r="A45" s="52" t="inlineStr">
        <is>
          <t>#</t>
        </is>
      </c>
      <c r="B45" s="52" t="inlineStr">
        <is>
          <t>Exercise</t>
        </is>
      </c>
      <c r="C45" s="52" t="inlineStr">
        <is>
          <t>Type</t>
        </is>
      </c>
      <c r="D45" s="52" t="inlineStr">
        <is>
          <t>Sets</t>
        </is>
      </c>
      <c r="E45" s="52" t="inlineStr">
        <is>
          <t>Reps</t>
        </is>
      </c>
      <c r="F45" s="52" t="inlineStr">
        <is>
          <t>% 1RM</t>
        </is>
      </c>
      <c r="G45" s="52" t="inlineStr">
        <is>
          <t>Prescribed (lbs)</t>
        </is>
      </c>
      <c r="H45" s="52" t="inlineStr">
        <is>
          <t>RPE</t>
        </is>
      </c>
      <c r="I45" s="52" t="inlineStr">
        <is>
          <t>Technique Notes</t>
        </is>
      </c>
      <c r="J45" s="52" t="inlineStr">
        <is>
          <t>Actual Wt</t>
        </is>
      </c>
      <c r="K45" s="52" t="inlineStr">
        <is>
          <t>Reps/Notes</t>
        </is>
      </c>
      <c r="L45" s="52" t="inlineStr">
        <is>
          <t>Done</t>
        </is>
      </c>
    </row>
    <row r="46" ht="22" customHeight="1">
      <c r="A46" s="32" t="n">
        <v>1</v>
      </c>
      <c r="B46" s="53" t="inlineStr">
        <is>
          <t>Squat — top single</t>
        </is>
      </c>
      <c r="C46" s="34" t="inlineStr">
        <is>
          <t>Main</t>
        </is>
      </c>
      <c r="D46" s="28" t="n">
        <v>1</v>
      </c>
      <c r="E46" s="28" t="inlineStr">
        <is>
          <t>1</t>
        </is>
      </c>
      <c r="F46" s="28" t="inlineStr">
        <is>
          <t>80%</t>
        </is>
      </c>
      <c r="G46" s="35">
        <f>ROUND('Setup &amp; Dashboard'!$C$7*0.8/5, 0)*5</f>
        <v/>
      </c>
      <c r="H46" s="28" t="inlineStr">
        <is>
          <t>@7 cap</t>
        </is>
      </c>
      <c r="I46" s="54" t="inlineStr">
        <is>
          <t>Crisp only</t>
        </is>
      </c>
      <c r="J46" s="55" t="inlineStr"/>
      <c r="K46" s="55" t="inlineStr"/>
      <c r="L46" s="14" t="inlineStr">
        <is>
          <t>[ ]</t>
        </is>
      </c>
    </row>
    <row r="47" ht="22" customHeight="1">
      <c r="A47" s="32" t="n">
        <v>2</v>
      </c>
      <c r="B47" s="53" t="inlineStr">
        <is>
          <t>Squat — back-off</t>
        </is>
      </c>
      <c r="C47" s="34" t="inlineStr">
        <is>
          <t>Main</t>
        </is>
      </c>
      <c r="D47" s="28" t="n">
        <v>2</v>
      </c>
      <c r="E47" s="28" t="inlineStr">
        <is>
          <t>1</t>
        </is>
      </c>
      <c r="F47" s="28" t="inlineStr">
        <is>
          <t>82%</t>
        </is>
      </c>
      <c r="G47" s="35">
        <f>ROUND('Setup &amp; Dashboard'!$C$7*0.82/5, 0)*5</f>
        <v/>
      </c>
      <c r="H47" s="28" t="inlineStr">
        <is>
          <t>@6-7</t>
        </is>
      </c>
      <c r="I47" s="54" t="inlineStr">
        <is>
          <t>Taper volume</t>
        </is>
      </c>
      <c r="J47" s="55" t="inlineStr"/>
      <c r="K47" s="55" t="inlineStr"/>
      <c r="L47" s="14" t="inlineStr">
        <is>
          <t>[ ]</t>
        </is>
      </c>
    </row>
    <row r="48" ht="22" customHeight="1">
      <c r="A48" s="32" t="n">
        <v>3</v>
      </c>
      <c r="B48" s="57" t="inlineStr">
        <is>
          <t>Pallof press</t>
        </is>
      </c>
      <c r="C48" s="32" t="inlineStr">
        <is>
          <t>Acc</t>
        </is>
      </c>
      <c r="D48" s="30" t="n">
        <v>1</v>
      </c>
      <c r="E48" s="30" t="inlineStr">
        <is>
          <t>8/side</t>
        </is>
      </c>
      <c r="F48" s="30" t="inlineStr"/>
      <c r="G48" s="32" t="inlineStr"/>
      <c r="H48" s="32" t="inlineStr"/>
      <c r="I48" s="56" t="inlineStr"/>
      <c r="J48" s="55" t="inlineStr"/>
      <c r="K48" s="55" t="inlineStr"/>
      <c r="L48" s="14" t="inlineStr">
        <is>
          <t>[ ]</t>
        </is>
      </c>
    </row>
    <row r="49"/>
    <row r="50" ht="22" customHeight="1">
      <c r="A50" s="50" t="inlineStr">
        <is>
          <t>Day 2 : Tuesday — Bench</t>
        </is>
      </c>
    </row>
    <row r="51" ht="36" customHeight="1">
      <c r="A51" s="51" t="inlineStr">
        <is>
          <t>💡 Coaching Rationale: Bench is 5 singles at 85% of max, RPE 7-8. Intensity stays high so your nervous system stays sharp, while volume is low enough to arrive at test day fresh.</t>
        </is>
      </c>
    </row>
    <row r="52" ht="22" customHeight="1">
      <c r="A52" s="52" t="inlineStr">
        <is>
          <t>#</t>
        </is>
      </c>
      <c r="B52" s="52" t="inlineStr">
        <is>
          <t>Exercise</t>
        </is>
      </c>
      <c r="C52" s="52" t="inlineStr">
        <is>
          <t>Type</t>
        </is>
      </c>
      <c r="D52" s="52" t="inlineStr">
        <is>
          <t>Sets</t>
        </is>
      </c>
      <c r="E52" s="52" t="inlineStr">
        <is>
          <t>Reps</t>
        </is>
      </c>
      <c r="F52" s="52" t="inlineStr">
        <is>
          <t>% 1RM</t>
        </is>
      </c>
      <c r="G52" s="52" t="inlineStr">
        <is>
          <t>Prescribed (lbs)</t>
        </is>
      </c>
      <c r="H52" s="52" t="inlineStr">
        <is>
          <t>RPE</t>
        </is>
      </c>
      <c r="I52" s="52" t="inlineStr">
        <is>
          <t>Technique Notes</t>
        </is>
      </c>
      <c r="J52" s="52" t="inlineStr">
        <is>
          <t>Actual Wt</t>
        </is>
      </c>
      <c r="K52" s="52" t="inlineStr">
        <is>
          <t>Reps/Notes</t>
        </is>
      </c>
      <c r="L52" s="52" t="inlineStr">
        <is>
          <t>Done</t>
        </is>
      </c>
    </row>
    <row r="53" ht="22" customHeight="1">
      <c r="A53" s="32" t="n">
        <v>1</v>
      </c>
      <c r="B53" s="53" t="inlineStr">
        <is>
          <t>Bench</t>
        </is>
      </c>
      <c r="C53" s="34" t="inlineStr">
        <is>
          <t>Main</t>
        </is>
      </c>
      <c r="D53" s="28" t="n">
        <v>5</v>
      </c>
      <c r="E53" s="28" t="inlineStr">
        <is>
          <t>1</t>
        </is>
      </c>
      <c r="F53" s="28" t="inlineStr">
        <is>
          <t>85%</t>
        </is>
      </c>
      <c r="G53" s="35">
        <f>ROUND('Setup &amp; Dashboard'!$C$8*0.85/5, 0)*5</f>
        <v/>
      </c>
      <c r="H53" s="28" t="inlineStr">
        <is>
          <t>@7-8</t>
        </is>
      </c>
      <c r="I53" s="56" t="inlineStr"/>
      <c r="J53" s="55" t="inlineStr"/>
      <c r="K53" s="55" t="inlineStr"/>
      <c r="L53" s="14" t="inlineStr">
        <is>
          <t>[ ]</t>
        </is>
      </c>
    </row>
    <row r="54" ht="22" customHeight="1">
      <c r="A54" s="32" t="n">
        <v>2</v>
      </c>
      <c r="B54" s="57" t="inlineStr">
        <is>
          <t>Close-grip bench</t>
        </is>
      </c>
      <c r="C54" s="32" t="inlineStr">
        <is>
          <t>Acc</t>
        </is>
      </c>
      <c r="D54" s="30" t="n">
        <v>1</v>
      </c>
      <c r="E54" s="30" t="inlineStr">
        <is>
          <t>3</t>
        </is>
      </c>
      <c r="F54" s="30" t="inlineStr"/>
      <c r="G54" s="32" t="inlineStr"/>
      <c r="H54" s="32" t="inlineStr"/>
      <c r="I54" s="54" t="inlineStr">
        <is>
          <t>light</t>
        </is>
      </c>
      <c r="J54" s="55" t="inlineStr"/>
      <c r="K54" s="55" t="inlineStr"/>
      <c r="L54" s="14" t="inlineStr">
        <is>
          <t>[ ]</t>
        </is>
      </c>
    </row>
    <row r="55" ht="22" customHeight="1">
      <c r="A55" s="32" t="n">
        <v>3</v>
      </c>
      <c r="B55" s="57" t="inlineStr">
        <is>
          <t>Face pull</t>
        </is>
      </c>
      <c r="C55" s="32" t="inlineStr">
        <is>
          <t>Acc</t>
        </is>
      </c>
      <c r="D55" s="30" t="n">
        <v>1</v>
      </c>
      <c r="E55" s="30" t="inlineStr">
        <is>
          <t>15</t>
        </is>
      </c>
      <c r="F55" s="30" t="inlineStr"/>
      <c r="G55" s="32" t="inlineStr"/>
      <c r="H55" s="32" t="inlineStr"/>
      <c r="I55" s="56" t="inlineStr"/>
      <c r="J55" s="55" t="inlineStr"/>
      <c r="K55" s="55" t="inlineStr"/>
      <c r="L55" s="14" t="inlineStr">
        <is>
          <t>[ ]</t>
        </is>
      </c>
    </row>
    <row r="56"/>
    <row r="57" ht="22" customHeight="1">
      <c r="A57" s="50" t="inlineStr">
        <is>
          <t>Day 3 : Thursday — Deadlift</t>
        </is>
      </c>
    </row>
    <row r="58" ht="54" customHeight="1">
      <c r="A58" s="51" t="inlineStr">
        <is>
          <t>💡 Coaching Rationale: Deadlift is 2 singles at 82%, RPE 7. The 1.5-rep deadlift reaches its last progression step at base + 55 lb. If it's anything above RPE 7, drop the weight. Freshness for test day comes first.</t>
        </is>
      </c>
    </row>
    <row r="59" ht="22" customHeight="1">
      <c r="A59" s="52" t="inlineStr">
        <is>
          <t>#</t>
        </is>
      </c>
      <c r="B59" s="52" t="inlineStr">
        <is>
          <t>Exercise</t>
        </is>
      </c>
      <c r="C59" s="52" t="inlineStr">
        <is>
          <t>Type</t>
        </is>
      </c>
      <c r="D59" s="52" t="inlineStr">
        <is>
          <t>Sets</t>
        </is>
      </c>
      <c r="E59" s="52" t="inlineStr">
        <is>
          <t>Reps</t>
        </is>
      </c>
      <c r="F59" s="52" t="inlineStr">
        <is>
          <t>% 1RM</t>
        </is>
      </c>
      <c r="G59" s="52" t="inlineStr">
        <is>
          <t>Prescribed (lbs)</t>
        </is>
      </c>
      <c r="H59" s="52" t="inlineStr">
        <is>
          <t>RPE</t>
        </is>
      </c>
      <c r="I59" s="52" t="inlineStr">
        <is>
          <t>Technique Notes</t>
        </is>
      </c>
      <c r="J59" s="52" t="inlineStr">
        <is>
          <t>Actual Wt</t>
        </is>
      </c>
      <c r="K59" s="52" t="inlineStr">
        <is>
          <t>Reps/Notes</t>
        </is>
      </c>
      <c r="L59" s="52" t="inlineStr">
        <is>
          <t>Done</t>
        </is>
      </c>
    </row>
    <row r="60" ht="22" customHeight="1">
      <c r="A60" s="32" t="n">
        <v>1</v>
      </c>
      <c r="B60" s="53" t="inlineStr">
        <is>
          <t>Deadlift</t>
        </is>
      </c>
      <c r="C60" s="34" t="inlineStr">
        <is>
          <t>Main</t>
        </is>
      </c>
      <c r="D60" s="28" t="n">
        <v>2</v>
      </c>
      <c r="E60" s="28" t="inlineStr">
        <is>
          <t>1</t>
        </is>
      </c>
      <c r="F60" s="28" t="inlineStr">
        <is>
          <t>82%</t>
        </is>
      </c>
      <c r="G60" s="35">
        <f>ROUND('Setup &amp; Dashboard'!$C$9*0.82/5, 0)*5</f>
        <v/>
      </c>
      <c r="H60" s="28" t="inlineStr">
        <is>
          <t>@7</t>
        </is>
      </c>
      <c r="I60" s="56" t="inlineStr"/>
      <c r="J60" s="55" t="inlineStr"/>
      <c r="K60" s="55" t="inlineStr"/>
      <c r="L60" s="14" t="inlineStr">
        <is>
          <t>[ ]</t>
        </is>
      </c>
    </row>
    <row r="61" ht="22" customHeight="1">
      <c r="A61" s="32" t="n">
        <v>2</v>
      </c>
      <c r="B61" s="53" t="inlineStr">
        <is>
          <t>1.5-rep deadlift (knee height)</t>
        </is>
      </c>
      <c r="C61" s="34" t="inlineStr">
        <is>
          <t>Main</t>
        </is>
      </c>
      <c r="D61" s="28" t="n">
        <v>3</v>
      </c>
      <c r="E61" s="28" t="inlineStr">
        <is>
          <t>3</t>
        </is>
      </c>
      <c r="F61" s="28" t="inlineStr">
        <is>
          <t xml:space="preserve">60% +55# </t>
        </is>
      </c>
      <c r="G61" s="35">
        <f>ROUND('Setup &amp; Dashboard'!$C$9*0.6/5, 0)*5+55</f>
        <v/>
      </c>
      <c r="H61" s="32" t="inlineStr"/>
      <c r="I61" s="54" t="inlineStr">
        <is>
          <t>Reset every rep; lower to just below knee, return to lockout, then lower fully. W1 60% DL max; add +5 lb/week only if clean and ≤RPE 7. Deload: 2x3 @55% max.</t>
        </is>
      </c>
      <c r="J61" s="55" t="inlineStr"/>
      <c r="K61" s="55" t="inlineStr"/>
      <c r="L61" s="14" t="inlineStr">
        <is>
          <t>[ ]</t>
        </is>
      </c>
    </row>
    <row r="62" ht="22" customHeight="1">
      <c r="A62" s="32" t="n">
        <v>3</v>
      </c>
      <c r="B62" s="57" t="inlineStr">
        <is>
          <t>Reverse hyper</t>
        </is>
      </c>
      <c r="C62" s="32" t="inlineStr">
        <is>
          <t>Acc</t>
        </is>
      </c>
      <c r="D62" s="30" t="n">
        <v>1</v>
      </c>
      <c r="E62" s="30" t="inlineStr">
        <is>
          <t>10</t>
        </is>
      </c>
      <c r="F62" s="30" t="inlineStr"/>
      <c r="G62" s="32" t="inlineStr"/>
      <c r="H62" s="32" t="inlineStr"/>
      <c r="I62" s="56" t="inlineStr"/>
      <c r="J62" s="55" t="inlineStr"/>
      <c r="K62" s="55" t="inlineStr"/>
      <c r="L62" s="14" t="inlineStr">
        <is>
          <t>[ ]</t>
        </is>
      </c>
    </row>
    <row r="63"/>
    <row r="64" ht="22" customHeight="1">
      <c r="A64" s="50" t="inlineStr">
        <is>
          <t>Day 4 : Friday — Bench variant / upper body</t>
        </is>
      </c>
    </row>
    <row r="65" ht="36" customHeight="1">
      <c r="A65" s="51" t="inlineStr">
        <is>
          <t>💡 Coaching Rationale: Purely maintenance: light lockout work at 65% and one set of pulldowns. Nothing in this session should feel hard.</t>
        </is>
      </c>
    </row>
    <row r="66" ht="22" customHeight="1">
      <c r="A66" s="52" t="inlineStr">
        <is>
          <t>#</t>
        </is>
      </c>
      <c r="B66" s="52" t="inlineStr">
        <is>
          <t>Exercise</t>
        </is>
      </c>
      <c r="C66" s="52" t="inlineStr">
        <is>
          <t>Type</t>
        </is>
      </c>
      <c r="D66" s="52" t="inlineStr">
        <is>
          <t>Sets</t>
        </is>
      </c>
      <c r="E66" s="52" t="inlineStr">
        <is>
          <t>Reps</t>
        </is>
      </c>
      <c r="F66" s="52" t="inlineStr">
        <is>
          <t>% 1RM</t>
        </is>
      </c>
      <c r="G66" s="52" t="inlineStr">
        <is>
          <t>Prescribed (lbs)</t>
        </is>
      </c>
      <c r="H66" s="52" t="inlineStr">
        <is>
          <t>RPE</t>
        </is>
      </c>
      <c r="I66" s="52" t="inlineStr">
        <is>
          <t>Technique Notes</t>
        </is>
      </c>
      <c r="J66" s="52" t="inlineStr">
        <is>
          <t>Actual Wt</t>
        </is>
      </c>
      <c r="K66" s="52" t="inlineStr">
        <is>
          <t>Reps/Notes</t>
        </is>
      </c>
      <c r="L66" s="52" t="inlineStr">
        <is>
          <t>Done</t>
        </is>
      </c>
    </row>
    <row r="67" ht="22" customHeight="1">
      <c r="A67" s="32" t="n">
        <v>1</v>
      </c>
      <c r="B67" s="53" t="inlineStr">
        <is>
          <t>Bench lockout support</t>
        </is>
      </c>
      <c r="C67" s="34" t="inlineStr">
        <is>
          <t>Main</t>
        </is>
      </c>
      <c r="D67" s="28" t="n">
        <v>2</v>
      </c>
      <c r="E67" s="28" t="inlineStr">
        <is>
          <t>3</t>
        </is>
      </c>
      <c r="F67" s="28" t="inlineStr">
        <is>
          <t>65%</t>
        </is>
      </c>
      <c r="G67" s="35">
        <f>ROUND('Setup &amp; Dashboard'!$C$8*0.65/5, 0)*5</f>
        <v/>
      </c>
      <c r="H67" s="32" t="inlineStr"/>
      <c r="I67" s="56" t="inlineStr"/>
      <c r="J67" s="55" t="inlineStr"/>
      <c r="K67" s="55" t="inlineStr"/>
      <c r="L67" s="14" t="inlineStr">
        <is>
          <t>[ ]</t>
        </is>
      </c>
    </row>
    <row r="68" ht="22" customHeight="1">
      <c r="A68" s="32" t="n">
        <v>2</v>
      </c>
      <c r="B68" s="57" t="inlineStr">
        <is>
          <t>Lat pulldown</t>
        </is>
      </c>
      <c r="C68" s="32" t="inlineStr">
        <is>
          <t>Acc</t>
        </is>
      </c>
      <c r="D68" s="30" t="n">
        <v>1</v>
      </c>
      <c r="E68" s="30" t="inlineStr">
        <is>
          <t>8</t>
        </is>
      </c>
      <c r="F68" s="30" t="inlineStr"/>
      <c r="G68" s="32" t="inlineStr"/>
      <c r="H68" s="32" t="inlineStr"/>
      <c r="I68" s="56" t="inlineStr"/>
      <c r="J68" s="55" t="inlineStr"/>
      <c r="K68" s="55" t="inlineStr"/>
      <c r="L68" s="14" t="inlineStr">
        <is>
          <t>[ ]</t>
        </is>
      </c>
    </row>
    <row r="69"/>
    <row r="70" ht="22" customHeight="1">
      <c r="A70" s="50" t="inlineStr">
        <is>
          <t>Day 5 : Saturday — Squat variant + Bent-over row</t>
        </is>
      </c>
    </row>
    <row r="71" ht="36" customHeight="1">
      <c r="A71" s="51" t="inlineStr">
        <is>
          <t>💡 Coaching Rationale: High-bar squat at an easy 60% of max for 2x3, plus clean rows and reverse hypers. This is a touch, not a training stimulus.</t>
        </is>
      </c>
    </row>
    <row r="72" ht="22" customHeight="1">
      <c r="A72" s="52" t="inlineStr">
        <is>
          <t>#</t>
        </is>
      </c>
      <c r="B72" s="52" t="inlineStr">
        <is>
          <t>Exercise</t>
        </is>
      </c>
      <c r="C72" s="52" t="inlineStr">
        <is>
          <t>Type</t>
        </is>
      </c>
      <c r="D72" s="52" t="inlineStr">
        <is>
          <t>Sets</t>
        </is>
      </c>
      <c r="E72" s="52" t="inlineStr">
        <is>
          <t>Reps</t>
        </is>
      </c>
      <c r="F72" s="52" t="inlineStr">
        <is>
          <t>% 1RM</t>
        </is>
      </c>
      <c r="G72" s="52" t="inlineStr">
        <is>
          <t>Prescribed (lbs)</t>
        </is>
      </c>
      <c r="H72" s="52" t="inlineStr">
        <is>
          <t>RPE</t>
        </is>
      </c>
      <c r="I72" s="52" t="inlineStr">
        <is>
          <t>Technique Notes</t>
        </is>
      </c>
      <c r="J72" s="52" t="inlineStr">
        <is>
          <t>Actual Wt</t>
        </is>
      </c>
      <c r="K72" s="52" t="inlineStr">
        <is>
          <t>Reps/Notes</t>
        </is>
      </c>
      <c r="L72" s="52" t="inlineStr">
        <is>
          <t>Done</t>
        </is>
      </c>
    </row>
    <row r="73" ht="22" customHeight="1">
      <c r="A73" s="32" t="n">
        <v>1</v>
      </c>
      <c r="B73" s="53" t="inlineStr">
        <is>
          <t>High-bar squat</t>
        </is>
      </c>
      <c r="C73" s="34" t="inlineStr">
        <is>
          <t>Main</t>
        </is>
      </c>
      <c r="D73" s="28" t="n">
        <v>2</v>
      </c>
      <c r="E73" s="28" t="inlineStr">
        <is>
          <t>3</t>
        </is>
      </c>
      <c r="F73" s="28" t="inlineStr">
        <is>
          <t>60%</t>
        </is>
      </c>
      <c r="G73" s="35">
        <f>ROUND('Setup &amp; Dashboard'!$C$7*0.6/5, 0)*5</f>
        <v/>
      </c>
      <c r="H73" s="32" t="inlineStr"/>
      <c r="I73" s="56" t="inlineStr"/>
      <c r="J73" s="55" t="inlineStr"/>
      <c r="K73" s="55" t="inlineStr"/>
      <c r="L73" s="14" t="inlineStr">
        <is>
          <t>[ ]</t>
        </is>
      </c>
    </row>
    <row r="74" ht="22" customHeight="1">
      <c r="A74" s="32" t="n">
        <v>2</v>
      </c>
      <c r="B74" s="57" t="inlineStr">
        <is>
          <t>Bent-over row</t>
        </is>
      </c>
      <c r="C74" s="32" t="inlineStr">
        <is>
          <t>Acc</t>
        </is>
      </c>
      <c r="D74" s="30" t="n">
        <v>4</v>
      </c>
      <c r="E74" s="30" t="inlineStr">
        <is>
          <t>4-6</t>
        </is>
      </c>
      <c r="F74" s="30" t="inlineStr">
        <is>
          <t>Row +5#</t>
        </is>
      </c>
      <c r="G74" s="35">
        <f>'Setup &amp; Dashboard'!$C$10+(12-1)*5</f>
        <v/>
      </c>
      <c r="H74" s="32" t="inlineStr"/>
      <c r="I74" s="54" t="inlineStr">
        <is>
          <t>4 strict sets. Add 5 lb next exposure only when every set is clean and ≤RPE 8; deload load/reps, no failure.</t>
        </is>
      </c>
      <c r="J74" s="55" t="inlineStr"/>
      <c r="K74" s="55" t="inlineStr"/>
      <c r="L74" s="14" t="inlineStr">
        <is>
          <t>[ ]</t>
        </is>
      </c>
    </row>
    <row r="75" ht="22" customHeight="1">
      <c r="A75" s="32" t="n">
        <v>3</v>
      </c>
      <c r="B75" s="57" t="inlineStr">
        <is>
          <t>Reverse hyper</t>
        </is>
      </c>
      <c r="C75" s="32" t="inlineStr">
        <is>
          <t>Acc</t>
        </is>
      </c>
      <c r="D75" s="30" t="n">
        <v>1</v>
      </c>
      <c r="E75" s="30" t="inlineStr">
        <is>
          <t>10</t>
        </is>
      </c>
      <c r="F75" s="30" t="inlineStr"/>
      <c r="G75" s="32" t="inlineStr"/>
      <c r="H75" s="32" t="inlineStr"/>
      <c r="I75" s="56" t="inlineStr"/>
      <c r="J75" s="55" t="inlineStr"/>
      <c r="K75" s="55" t="inlineStr"/>
      <c r="L75" s="14" t="inlineStr">
        <is>
          <t>[ ]</t>
        </is>
      </c>
    </row>
  </sheetData>
  <mergeCells count="24">
    <mergeCell ref="A21:L21"/>
    <mergeCell ref="A50:L50"/>
    <mergeCell ref="A57:L57"/>
    <mergeCell ref="A2:L2"/>
    <mergeCell ref="A42:L42"/>
    <mergeCell ref="A71:L71"/>
    <mergeCell ref="A5:L5"/>
    <mergeCell ref="A14:L14"/>
    <mergeCell ref="A22:L22"/>
    <mergeCell ref="A35:L35"/>
    <mergeCell ref="A4:L4"/>
    <mergeCell ref="A29:L29"/>
    <mergeCell ref="A43:L43"/>
    <mergeCell ref="A28:L28"/>
    <mergeCell ref="A13:L13"/>
    <mergeCell ref="A44:L44"/>
    <mergeCell ref="A58:L58"/>
    <mergeCell ref="A64:L64"/>
    <mergeCell ref="A51:L51"/>
    <mergeCell ref="A1:L1"/>
    <mergeCell ref="A36:L36"/>
    <mergeCell ref="A6:L6"/>
    <mergeCell ref="A70:L70"/>
    <mergeCell ref="A65:L6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7"/>
  <sheetViews>
    <sheetView showGridLines="1" workbookViewId="0">
      <selection activeCell="A1" sqref="A1"/>
    </sheetView>
  </sheetViews>
  <sheetFormatPr baseColWidth="8" defaultRowHeight="15" outlineLevelCol="0"/>
  <cols>
    <col width="37" customWidth="1" min="1" max="1"/>
    <col width="18" customWidth="1" min="2" max="2"/>
    <col width="28" customWidth="1" min="3" max="3"/>
    <col width="46" customWidth="1" min="4" max="4"/>
    <col width="52" customWidth="1" min="5" max="5"/>
    <col width="87" customWidth="1" min="6" max="6"/>
    <col width="23" customWidth="1" min="7" max="7"/>
    <col width="27" customWidth="1" min="8" max="8"/>
    <col width="28" customWidth="1" min="9" max="9"/>
    <col width="10" customWidth="1" min="10" max="10"/>
    <col width="10" customWidth="1" min="11" max="11"/>
    <col width="10" customWidth="1" min="12" max="12"/>
  </cols>
  <sheetData>
    <row r="1" ht="30" customHeight="1">
      <c r="A1" s="1" t="inlineStr">
        <is>
          <t>CHIKO_LIFTS : WEEK 13 PEAKING &amp; PR TESTING MASTER SCHEDULE</t>
        </is>
      </c>
    </row>
    <row r="2" ht="20" customHeight="1">
      <c r="A2" s="2" t="inlineStr">
        <is>
          <t>Official 8-Day Competition Peaking Protocol — Activation Day + 3 Dedicated PR Test Days with Strategic Full-Rest Spacing</t>
        </is>
      </c>
    </row>
    <row r="3"/>
    <row r="4">
      <c r="A4" s="3" t="inlineStr">
        <is>
          <t>A. 8-DAY PR TESTING TIMELINE &amp; SCHEDULE</t>
        </is>
      </c>
    </row>
    <row r="5" ht="24" customHeight="1">
      <c r="A5" s="4" t="inlineStr">
        <is>
          <t>Day #</t>
        </is>
      </c>
      <c r="B5" s="4" t="inlineStr">
        <is>
          <t>Role</t>
        </is>
      </c>
      <c r="C5" s="4" t="inlineStr">
        <is>
          <t>Status</t>
        </is>
      </c>
      <c r="D5" s="4" t="inlineStr">
        <is>
          <t>Session Focus</t>
        </is>
      </c>
      <c r="E5" s="4" t="inlineStr">
        <is>
          <t>Key Protocol</t>
        </is>
      </c>
      <c r="F5" s="4" t="inlineStr">
        <is>
          <t>Coaching Strategy</t>
        </is>
      </c>
    </row>
    <row r="6" ht="24" customHeight="1">
      <c r="A6" s="8" t="inlineStr">
        <is>
          <t>Day 1</t>
        </is>
      </c>
      <c r="B6" s="8" t="inlineStr">
        <is>
          <t>Activation</t>
        </is>
      </c>
      <c r="C6" s="64" t="inlineStr">
        <is>
          <t>Lifting</t>
        </is>
      </c>
      <c r="D6" s="65" t="inlineStr">
        <is>
          <t>Day 1 — Light activation</t>
        </is>
      </c>
      <c r="E6" s="65" t="inlineStr">
        <is>
          <t>Squat &amp; Bench 2x3 @ 50% Max</t>
        </is>
      </c>
      <c r="F6" s="66" t="inlineStr">
        <is>
          <t>Grease the motor pattern, wake up the nervous system, zero fatigue.</t>
        </is>
      </c>
    </row>
    <row r="7" ht="24" customHeight="1">
      <c r="A7" s="8" t="inlineStr">
        <is>
          <t>Day 2</t>
        </is>
      </c>
      <c r="B7" s="67" t="inlineStr">
        <is>
          <t>Bench PR</t>
        </is>
      </c>
      <c r="C7" s="64" t="inlineStr">
        <is>
          <t>Lifting</t>
        </is>
      </c>
      <c r="D7" s="22" t="inlineStr">
        <is>
          <t>Day 2 — Bench PR test</t>
        </is>
      </c>
      <c r="E7" s="22" t="inlineStr">
        <is>
          <t>Opener @ 90% -&gt; 2nd Attempt PR -&gt; 3rd Attempt Max</t>
        </is>
      </c>
      <c r="F7" s="66" t="inlineStr">
        <is>
          <t>Bench tested first when whole-body nervous system is freshest.</t>
        </is>
      </c>
    </row>
    <row r="8" ht="24" customHeight="1">
      <c r="A8" s="8" t="inlineStr">
        <is>
          <t>Day 3</t>
        </is>
      </c>
      <c r="B8" s="68" t="inlineStr">
        <is>
          <t>Rest</t>
        </is>
      </c>
      <c r="C8" s="64" t="inlineStr">
        <is>
          <t>Rest</t>
        </is>
      </c>
      <c r="D8" s="65" t="inlineStr">
        <is>
          <t>Day 3 — Mandatory Rest</t>
        </is>
      </c>
      <c r="E8" s="65" t="inlineStr">
        <is>
          <t>Full rest; zero lifting</t>
        </is>
      </c>
      <c r="F8" s="66" t="inlineStr">
        <is>
          <t>Clear upper body fatigue; hydrate and eat before Squat day.</t>
        </is>
      </c>
    </row>
    <row r="9" ht="24" customHeight="1">
      <c r="A9" s="8" t="inlineStr">
        <is>
          <t>Day 4</t>
        </is>
      </c>
      <c r="B9" s="67" t="inlineStr">
        <is>
          <t>Squat PR</t>
        </is>
      </c>
      <c r="C9" s="64" t="inlineStr">
        <is>
          <t>Lifting</t>
        </is>
      </c>
      <c r="D9" s="22" t="inlineStr">
        <is>
          <t>Day 4 — Squat PR test</t>
        </is>
      </c>
      <c r="E9" s="22" t="inlineStr">
        <is>
          <t>Opener @ 90% -&gt; 2nd Attempt PR -&gt; 3rd Attempt Max</t>
        </is>
      </c>
      <c r="F9" s="66" t="inlineStr">
        <is>
          <t>Test Squat. Warm up thoroughly with empty bar and gradual plate jumps.</t>
        </is>
      </c>
    </row>
    <row r="10" ht="24" customHeight="1">
      <c r="A10" s="8" t="inlineStr">
        <is>
          <t>Day 5</t>
        </is>
      </c>
      <c r="B10" s="68" t="inlineStr">
        <is>
          <t>Rest</t>
        </is>
      </c>
      <c r="C10" s="64" t="inlineStr">
        <is>
          <t>Rest</t>
        </is>
      </c>
      <c r="D10" s="65" t="inlineStr">
        <is>
          <t>Day 5 — Rest / recovery</t>
        </is>
      </c>
      <c r="E10" s="65" t="inlineStr">
        <is>
          <t>Full rest &amp; light walking</t>
        </is>
      </c>
      <c r="F10" s="66" t="inlineStr">
        <is>
          <t>Clear spinal compression and lower body fatigue from Squatting.</t>
        </is>
      </c>
    </row>
    <row r="11" ht="24" customHeight="1">
      <c r="A11" s="8" t="inlineStr">
        <is>
          <t>Day 6</t>
        </is>
      </c>
      <c r="B11" s="68" t="inlineStr">
        <is>
          <t>Rest</t>
        </is>
      </c>
      <c r="C11" s="64" t="inlineStr">
        <is>
          <t>Rest</t>
        </is>
      </c>
      <c r="D11" s="65" t="inlineStr">
        <is>
          <t>Day 6 — Rest / full recovery</t>
        </is>
      </c>
      <c r="E11" s="65" t="inlineStr">
        <is>
          <t>Full rest &amp; nutrition</t>
        </is>
      </c>
      <c r="F11" s="66" t="inlineStr">
        <is>
          <t>Prep nervous system for Deadlift peak.</t>
        </is>
      </c>
    </row>
    <row r="12" ht="24" customHeight="1">
      <c r="A12" s="8" t="inlineStr">
        <is>
          <t>Day 7</t>
        </is>
      </c>
      <c r="B12" s="68" t="inlineStr">
        <is>
          <t>Rest</t>
        </is>
      </c>
      <c r="C12" s="64" t="inlineStr">
        <is>
          <t>Rest</t>
        </is>
      </c>
      <c r="D12" s="65" t="inlineStr">
        <is>
          <t>Day 7 — Rest / full recovery</t>
        </is>
      </c>
      <c r="E12" s="65" t="inlineStr">
        <is>
          <t>Full rest &amp; mobility</t>
        </is>
      </c>
      <c r="F12" s="66" t="inlineStr">
        <is>
          <t>Final rest day. Total CNS restoration before heaviest pull.</t>
        </is>
      </c>
    </row>
    <row r="13" ht="24" customHeight="1">
      <c r="A13" s="8" t="inlineStr">
        <is>
          <t>Day 8</t>
        </is>
      </c>
      <c r="B13" s="67" t="inlineStr">
        <is>
          <t>Deadlift PR</t>
        </is>
      </c>
      <c r="C13" s="64" t="inlineStr">
        <is>
          <t>Lifting</t>
        </is>
      </c>
      <c r="D13" s="22" t="inlineStr">
        <is>
          <t>Day 8 — Deadlift PR test</t>
        </is>
      </c>
      <c r="E13" s="22" t="inlineStr">
        <is>
          <t>Opener @ 90% -&gt; 2nd Attempt PR -&gt; 3rd Attempt Max</t>
        </is>
      </c>
      <c r="F13" s="66" t="inlineStr">
        <is>
          <t>Grand finale: Deadlift PR test. 3 days of rest guaranteed maximum supercompensation.</t>
        </is>
      </c>
    </row>
    <row r="14"/>
    <row r="15"/>
    <row r="16">
      <c r="A16" s="3" t="inlineStr">
        <is>
          <t>B. OFFICIAL ATTEMPT SELECTION MATRIX &amp; RECORD BOARD (LINKED TO YOUR MAXES)</t>
        </is>
      </c>
    </row>
    <row r="17" ht="26" customHeight="1">
      <c r="A17" s="4" t="inlineStr">
        <is>
          <t>Testing Lift</t>
        </is>
      </c>
      <c r="B17" s="4" t="inlineStr">
        <is>
          <t>Testing Day</t>
        </is>
      </c>
      <c r="C17" s="4" t="inlineStr">
        <is>
          <t>Current 1RM</t>
        </is>
      </c>
      <c r="D17" s="4" t="inlineStr">
        <is>
          <t>Attempt 1 (Opener @90%)</t>
        </is>
      </c>
      <c r="E17" s="4" t="inlineStr">
        <is>
          <t>Attempt 2 (Target PR)</t>
        </is>
      </c>
      <c r="F17" s="4" t="inlineStr">
        <is>
          <t>Attempt 3 (Peak PR)</t>
        </is>
      </c>
      <c r="G17" s="4" t="inlineStr">
        <is>
          <t>Official Best PR Hit</t>
        </is>
      </c>
      <c r="H17" s="4" t="inlineStr">
        <is>
          <t>Net PR Gain (lbs)</t>
        </is>
      </c>
      <c r="I17" s="4" t="inlineStr">
        <is>
          <t>Notes / Meet Video Link</t>
        </is>
      </c>
    </row>
    <row r="18" ht="26" customHeight="1">
      <c r="A18" s="22" t="inlineStr">
        <is>
          <t>Bench Press</t>
        </is>
      </c>
      <c r="B18" s="8" t="inlineStr">
        <is>
          <t>Day 2</t>
        </is>
      </c>
      <c r="C18" s="23">
        <f>'Setup &amp; Dashboard'!$C$8</f>
        <v/>
      </c>
      <c r="D18" s="69">
        <f>ROUND('Setup &amp; Dashboard'!$C$8*0.9/5, 0)*5</f>
        <v/>
      </c>
      <c r="E18" s="70">
        <f>ROUND('Setup &amp; Dashboard'!$C$8*1.025/5, 0)*5</f>
        <v/>
      </c>
      <c r="F18" s="71">
        <f>ROUND('Setup &amp; Dashboard'!$C$8*1.05/5, 0)*5</f>
        <v/>
      </c>
      <c r="G18" s="7" t="inlineStr"/>
      <c r="H18" s="72">
        <f>IF(G18&gt;0, G18-C18, "-")</f>
        <v/>
      </c>
      <c r="I18" s="55" t="inlineStr"/>
    </row>
    <row r="19" ht="26" customHeight="1">
      <c r="A19" s="22" t="inlineStr">
        <is>
          <t>Back Squat</t>
        </is>
      </c>
      <c r="B19" s="8" t="inlineStr">
        <is>
          <t>Day 4</t>
        </is>
      </c>
      <c r="C19" s="23">
        <f>'Setup &amp; Dashboard'!$C$7</f>
        <v/>
      </c>
      <c r="D19" s="69">
        <f>ROUND('Setup &amp; Dashboard'!$C$7*0.9/5, 0)*5</f>
        <v/>
      </c>
      <c r="E19" s="70">
        <f>ROUND('Setup &amp; Dashboard'!$C$7*1.025/5, 0)*5</f>
        <v/>
      </c>
      <c r="F19" s="71">
        <f>ROUND('Setup &amp; Dashboard'!$C$7*1.05/5, 0)*5</f>
        <v/>
      </c>
      <c r="G19" s="7" t="inlineStr"/>
      <c r="H19" s="72">
        <f>IF(G19&gt;0, G19-C19, "-")</f>
        <v/>
      </c>
      <c r="I19" s="55" t="inlineStr"/>
    </row>
    <row r="20" ht="26" customHeight="1">
      <c r="A20" s="22" t="inlineStr">
        <is>
          <t>Deadlift</t>
        </is>
      </c>
      <c r="B20" s="8" t="inlineStr">
        <is>
          <t>Day 8</t>
        </is>
      </c>
      <c r="C20" s="23">
        <f>'Setup &amp; Dashboard'!$C$9</f>
        <v/>
      </c>
      <c r="D20" s="69">
        <f>ROUND('Setup &amp; Dashboard'!$C$9*0.9/5, 0)*5</f>
        <v/>
      </c>
      <c r="E20" s="70">
        <f>ROUND('Setup &amp; Dashboard'!$C$9*1.025/5, 0)*5</f>
        <v/>
      </c>
      <c r="F20" s="71">
        <f>ROUND('Setup &amp; Dashboard'!$C$9*1.05/5, 0)*5</f>
        <v/>
      </c>
      <c r="G20" s="7" t="inlineStr"/>
      <c r="H20" s="72">
        <f>IF(G20&gt;0, G20-C20, "-")</f>
        <v/>
      </c>
      <c r="I20" s="55" t="inlineStr"/>
    </row>
    <row r="21"/>
    <row r="22"/>
    <row r="23">
      <c r="A23" s="3" t="inlineStr">
        <is>
          <t>C. ATTEMPT DISCIPLINE &amp; PEAKING RULES</t>
        </is>
      </c>
    </row>
    <row r="24" ht="24" customHeight="1">
      <c r="A24" s="5" t="inlineStr">
        <is>
          <t>• Opener (Attempt 1 @ 90%)</t>
        </is>
      </c>
      <c r="B24" s="10" t="inlineStr">
        <is>
          <t>Your opener MUST be crisp and confident (~RPE 8.5). If your opener is a grind, you DO NOT increase weight on Attempt 2. Repeat or stay conservative.</t>
        </is>
      </c>
    </row>
    <row r="25" ht="24" customHeight="1">
      <c r="A25" s="5" t="inlineStr">
        <is>
          <t>• Second Attempt (Target PR)</t>
        </is>
      </c>
      <c r="B25" s="10" t="inlineStr">
        <is>
          <t>If Opener is fast and clean, jump +10 to +20 lbs to lock in your official new Personal Record. This guarantees you leave the session with a verified PR in the books.</t>
        </is>
      </c>
    </row>
    <row r="26" ht="24" customHeight="1">
      <c r="A26" s="5" t="inlineStr">
        <is>
          <t>• Third Attempt (Aggressive Reach)</t>
        </is>
      </c>
      <c r="B26" s="10" t="inlineStr">
        <is>
          <t>Take this attempt ONLY if Attempt 2 moved with zero technical compromise and bar speed was solid. Put everything on the platform!</t>
        </is>
      </c>
    </row>
    <row r="27" ht="24" customHeight="1">
      <c r="A27" s="5" t="inlineStr">
        <is>
          <t>• Rest Between Attempts</t>
        </is>
      </c>
      <c r="B27" s="10" t="inlineStr">
        <is>
          <t>Take 5 to 7 full minutes of rest between PR attempts. Neuromuscular ATP recovery requires full time.</t>
        </is>
      </c>
    </row>
  </sheetData>
  <mergeCells count="9">
    <mergeCell ref="A2:L2"/>
    <mergeCell ref="A16:L16"/>
    <mergeCell ref="B25:I25"/>
    <mergeCell ref="B24:I24"/>
    <mergeCell ref="A1:L1"/>
    <mergeCell ref="A23:L23"/>
    <mergeCell ref="B27:I27"/>
    <mergeCell ref="A4:L4"/>
    <mergeCell ref="B26:I2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1"/>
  <sheetViews>
    <sheetView showGridLines="1" workbookViewId="0">
      <pane ySplit="3" topLeftCell="A4" activePane="bottomLeft" state="frozen"/>
      <selection pane="bottomLeft" activeCell="A1" sqref="A1"/>
    </sheetView>
  </sheetViews>
  <sheetFormatPr baseColWidth="8" defaultRowHeight="15" outlineLevelCol="0"/>
  <cols>
    <col width="8" customWidth="1" min="1" max="1"/>
    <col width="25" customWidth="1" min="2" max="2"/>
    <col width="8" customWidth="1" min="3" max="3"/>
    <col width="43" customWidth="1" min="4" max="4"/>
    <col width="49" customWidth="1" min="5" max="5"/>
    <col width="410" customWidth="1" min="6" max="6"/>
    <col width="12" customWidth="1" min="7" max="7"/>
  </cols>
  <sheetData>
    <row r="1" ht="30" customHeight="1">
      <c r="A1" s="1" t="inlineStr">
        <is>
          <t>CHIKO_LIFTS : MASTER COACHING GUIDE &amp; SESSION RATIONALE</t>
        </is>
      </c>
    </row>
    <row r="2" ht="20" customHeight="1">
      <c r="A2" s="2" t="inlineStr">
        <is>
          <t>Comprehensive Session-by-Session Tactical Breakdown, Energy Management, Stimulus Objectives &amp; Recovery Directives</t>
        </is>
      </c>
    </row>
    <row r="3" ht="26" customHeight="1">
      <c r="A3" s="4" t="inlineStr">
        <is>
          <t>Week</t>
        </is>
      </c>
      <c r="B3" s="4" t="inlineStr">
        <is>
          <t>Phase</t>
        </is>
      </c>
      <c r="C3" s="4" t="inlineStr">
        <is>
          <t>Day #</t>
        </is>
      </c>
      <c r="D3" s="4" t="inlineStr">
        <is>
          <t>Day Label / Session Title</t>
        </is>
      </c>
      <c r="E3" s="4" t="inlineStr">
        <is>
          <t>Key Lift Focus</t>
        </is>
      </c>
      <c r="F3" s="4" t="inlineStr">
        <is>
          <t>Detailed Coaching Rationale &amp; Strategic Objective</t>
        </is>
      </c>
      <c r="G3" s="4" t="inlineStr">
        <is>
          <t>Completed</t>
        </is>
      </c>
    </row>
    <row r="4" ht="96" customHeight="1">
      <c r="A4" s="28" t="n">
        <v>1</v>
      </c>
      <c r="B4" s="29" t="inlineStr">
        <is>
          <t>Accumulation</t>
        </is>
      </c>
      <c r="C4" s="30" t="n">
        <v>1</v>
      </c>
      <c r="D4" s="73" t="inlineStr">
        <is>
          <t>Monday — Squat</t>
        </is>
      </c>
      <c r="E4" s="31" t="inlineStr">
        <is>
          <t>Back squat — top single, Back squat — back-off</t>
        </is>
      </c>
      <c r="F4" s="31" t="inlineStr">
        <is>
          <t>The cycle opens with a top single at 85% of max. It's not a max test. It's a smooth, no-grind single at RPE 7.5-8 that gets you used to heavier weight on your back from day one. The 4x4 back-offs at 70% of max are the real volume work, kept well short of failure so you groove the pattern. Split squats and leg curls build the single-leg stability and hamstring strength that heavier squats will need later.</t>
        </is>
      </c>
      <c r="G4" s="32" t="inlineStr">
        <is>
          <t>[ ]</t>
        </is>
      </c>
    </row>
    <row r="5" ht="64" customHeight="1">
      <c r="A5" s="38" t="n">
        <v>1</v>
      </c>
      <c r="B5" s="29" t="inlineStr">
        <is>
          <t>Accumulation</t>
        </is>
      </c>
      <c r="C5" s="39" t="n">
        <v>2</v>
      </c>
      <c r="D5" s="74" t="inlineStr">
        <is>
          <t>Tuesday — Bench</t>
        </is>
      </c>
      <c r="E5" s="40" t="inlineStr">
        <is>
          <t>Bench press</t>
        </is>
      </c>
      <c r="F5" s="31" t="inlineStr">
        <is>
          <t>Bench starts with 6x4 at 70% of max. That's more sets than squat because bench recovers faster and handles volume well. Close-grip bench and triceps work start building lockout strength for the heavier weeks. Face pulls keep the rear delts and rotator cuff balanced against all the pressing.</t>
        </is>
      </c>
      <c r="G5" s="41" t="inlineStr">
        <is>
          <t>[ ]</t>
        </is>
      </c>
    </row>
    <row r="6" ht="96" customHeight="1">
      <c r="A6" s="28" t="n">
        <v>1</v>
      </c>
      <c r="B6" s="29" t="inlineStr">
        <is>
          <t>Accumulation</t>
        </is>
      </c>
      <c r="C6" s="30" t="n">
        <v>3</v>
      </c>
      <c r="D6" s="73" t="inlineStr">
        <is>
          <t>Thursday — Deadlift</t>
        </is>
      </c>
      <c r="E6" s="31" t="inlineStr">
        <is>
          <t>Deadlift, 1.5-rep deadlift (knee height)</t>
        </is>
      </c>
      <c r="F6" s="31" t="inlineStr">
        <is>
          <t>Deadlift is the lightest main lift relative to your max (68%) because it costs the most recovery. The 1.5-rep deadlift from knee height starts at 60% of your deadlift max. Each rep goes lockout → just below the knee → back to lockout → floor, with a reset every rep. This builds strength in the knee-to-lockout range under control. Only add the weekly 5 lb if every rep is clean and RPE 7 or lower.</t>
        </is>
      </c>
      <c r="G6" s="32" t="inlineStr">
        <is>
          <t>[ ]</t>
        </is>
      </c>
    </row>
    <row r="7" ht="64" customHeight="1">
      <c r="A7" s="38" t="n">
        <v>1</v>
      </c>
      <c r="B7" s="29" t="inlineStr">
        <is>
          <t>Accumulation</t>
        </is>
      </c>
      <c r="C7" s="39" t="n">
        <v>4</v>
      </c>
      <c r="D7" s="74" t="inlineStr">
        <is>
          <t>Friday — Bench variant / upper body</t>
        </is>
      </c>
      <c r="E7" s="40" t="inlineStr">
        <is>
          <t>Tempo bench (3-1-1)</t>
        </is>
      </c>
      <c r="F7" s="31" t="inlineStr">
        <is>
          <t>This is a second bench day, not a second heavy bench day. The 3-1-1 tempo at 65% keeps the weight light while you practice bar path and control. Pulldowns and arm work round out the upper body. Rowing has moved to Saturday as a heavy bent-over row.</t>
        </is>
      </c>
      <c r="G7" s="41" t="inlineStr">
        <is>
          <t>[ ]</t>
        </is>
      </c>
    </row>
    <row r="8" ht="80" customHeight="1">
      <c r="A8" s="28" t="n">
        <v>1</v>
      </c>
      <c r="B8" s="29" t="inlineStr">
        <is>
          <t>Accumulation</t>
        </is>
      </c>
      <c r="C8" s="30" t="n">
        <v>5</v>
      </c>
      <c r="D8" s="73" t="inlineStr">
        <is>
          <t>Saturday — Squat variant + Bent-over row</t>
        </is>
      </c>
      <c r="E8" s="31" t="inlineStr">
        <is>
          <t>Paused squat</t>
        </is>
      </c>
      <c r="F8" s="31" t="inlineStr">
        <is>
          <t>Paused squat at 70% of max builds strength in the bottom of the squat. From here it goes up a fixed 5 lb each week instead of following a percentage. The bent-over row replaces the old rack pull slot: 4 strict sets of 4-6, adding 5 lb next time only when every set is clean and RPE 8 or lower. Never row to failure.</t>
        </is>
      </c>
      <c r="G8" s="32" t="inlineStr">
        <is>
          <t>[ ]</t>
        </is>
      </c>
    </row>
    <row r="9" ht="64" customHeight="1">
      <c r="A9" s="38" t="n">
        <v>2</v>
      </c>
      <c r="B9" s="29" t="inlineStr">
        <is>
          <t>Accumulation</t>
        </is>
      </c>
      <c r="C9" s="39" t="n">
        <v>1</v>
      </c>
      <c r="D9" s="74" t="inlineStr">
        <is>
          <t>Monday — Squat</t>
        </is>
      </c>
      <c r="E9" s="40" t="inlineStr">
        <is>
          <t>Back squat — top single, Back squat — back-off</t>
        </is>
      </c>
      <c r="F9" s="31" t="inlineStr">
        <is>
          <t>The top single goes up to 86% of max. The back-offs go to 5x4 at 73%: one more set and 3% more weight. This is the standard accumulation progression. Small, repeatable jumps let you pile up quality reps without a spike in fatigue.</t>
        </is>
      </c>
      <c r="G9" s="41" t="inlineStr">
        <is>
          <t>[ ]</t>
        </is>
      </c>
    </row>
    <row r="10" ht="32" customHeight="1">
      <c r="A10" s="28" t="n">
        <v>2</v>
      </c>
      <c r="B10" s="29" t="inlineStr">
        <is>
          <t>Accumulation</t>
        </is>
      </c>
      <c r="C10" s="30" t="n">
        <v>2</v>
      </c>
      <c r="D10" s="73" t="inlineStr">
        <is>
          <t>Tuesday — Bench</t>
        </is>
      </c>
      <c r="E10" s="31" t="inlineStr">
        <is>
          <t>Bench press</t>
        </is>
      </c>
      <c r="F10" s="31" t="inlineStr">
        <is>
          <t>Bench goes to 7x4 at 73% of max, one more set and 3% more weight than Week 1. You should still finish each set with 2-3 reps in reserve.</t>
        </is>
      </c>
      <c r="G10" s="32" t="inlineStr">
        <is>
          <t>[ ]</t>
        </is>
      </c>
    </row>
    <row r="11" ht="64" customHeight="1">
      <c r="A11" s="38" t="n">
        <v>2</v>
      </c>
      <c r="B11" s="29" t="inlineStr">
        <is>
          <t>Accumulation</t>
        </is>
      </c>
      <c r="C11" s="39" t="n">
        <v>3</v>
      </c>
      <c r="D11" s="74" t="inlineStr">
        <is>
          <t>Thursday — Deadlift</t>
        </is>
      </c>
      <c r="E11" s="40" t="inlineStr">
        <is>
          <t>Deadlift, 1.5-rep deadlift (knee height)</t>
        </is>
      </c>
      <c r="F11" s="31" t="inlineStr">
        <is>
          <t>Deadlift goes up to 72% but stays at 3 sets. Deadlift doesn't get an extra set here because each set costs so much recovery. The 1.5-rep deadlift adds its first 5 lb. Only take the jump if last week's reps were clean and RPE 7 or lower.</t>
        </is>
      </c>
      <c r="G11" s="41" t="inlineStr">
        <is>
          <t>[ ]</t>
        </is>
      </c>
    </row>
    <row r="12" ht="48" customHeight="1">
      <c r="A12" s="28" t="n">
        <v>2</v>
      </c>
      <c r="B12" s="29" t="inlineStr">
        <is>
          <t>Accumulation</t>
        </is>
      </c>
      <c r="C12" s="30" t="n">
        <v>4</v>
      </c>
      <c r="D12" s="73" t="inlineStr">
        <is>
          <t>Friday — Bench variant / upper body</t>
        </is>
      </c>
      <c r="E12" s="31" t="inlineStr">
        <is>
          <t>Paused bench</t>
        </is>
      </c>
      <c r="F12" s="31" t="inlineStr">
        <is>
          <t>Paused bench replaces tempo bench as the lighter bench movement. It works a different skill (strength from a dead stop on the chest) at a similar easy weight, so this day doesn't get stale.</t>
        </is>
      </c>
      <c r="G12" s="32" t="inlineStr">
        <is>
          <t>[ ]</t>
        </is>
      </c>
    </row>
    <row r="13" ht="48" customHeight="1">
      <c r="A13" s="38" t="n">
        <v>2</v>
      </c>
      <c r="B13" s="29" t="inlineStr">
        <is>
          <t>Accumulation</t>
        </is>
      </c>
      <c r="C13" s="39" t="n">
        <v>5</v>
      </c>
      <c r="D13" s="74" t="inlineStr">
        <is>
          <t>Saturday — Squat variant + Bent-over row</t>
        </is>
      </c>
      <c r="E13" s="40" t="inlineStr">
        <is>
          <t>Paused squat</t>
        </is>
      </c>
      <c r="F13" s="31" t="inlineStr">
        <is>
          <t>Paused squat moves to 3x5 at base + 5 lb, which is the highest-rep week of this lift. The bent-over row keeps its 4x4-6 structure. The weight only goes up if last week was clean.</t>
        </is>
      </c>
      <c r="G13" s="41" t="inlineStr">
        <is>
          <t>[ ]</t>
        </is>
      </c>
    </row>
    <row r="14" ht="64" customHeight="1">
      <c r="A14" s="28" t="n">
        <v>3</v>
      </c>
      <c r="B14" s="29" t="inlineStr">
        <is>
          <t>Accumulation</t>
        </is>
      </c>
      <c r="C14" s="30" t="n">
        <v>1</v>
      </c>
      <c r="D14" s="73" t="inlineStr">
        <is>
          <t>Monday — Squat</t>
        </is>
      </c>
      <c r="E14" s="31" t="inlineStr">
        <is>
          <t>Squat — top single, Squat — back-off</t>
        </is>
      </c>
      <c r="F14" s="31" t="inlineStr">
        <is>
          <t>The top single goes to 87% of max and stays there through Week 4. The back-offs switch to 6x3 at 77%. Reps per set drop but total weight lifted keeps climbing, which is how accumulation builds work capacity without RPE spiking.</t>
        </is>
      </c>
      <c r="G14" s="32" t="inlineStr">
        <is>
          <t>[ ]</t>
        </is>
      </c>
    </row>
    <row r="15" ht="32" customHeight="1">
      <c r="A15" s="38" t="n">
        <v>3</v>
      </c>
      <c r="B15" s="29" t="inlineStr">
        <is>
          <t>Accumulation</t>
        </is>
      </c>
      <c r="C15" s="39" t="n">
        <v>2</v>
      </c>
      <c r="D15" s="74" t="inlineStr">
        <is>
          <t>Tuesday — Bench</t>
        </is>
      </c>
      <c r="E15" s="40" t="inlineStr">
        <is>
          <t>Bench</t>
        </is>
      </c>
      <c r="F15" s="31" t="inlineStr">
        <is>
          <t>Bench stays at 7 sets but moves to 76% of max. RPE creeping to 7-8 is expected and fine. This is still submaximal work.</t>
        </is>
      </c>
      <c r="G15" s="41" t="inlineStr">
        <is>
          <t>[ ]</t>
        </is>
      </c>
    </row>
    <row r="16" ht="48" customHeight="1">
      <c r="A16" s="28" t="n">
        <v>3</v>
      </c>
      <c r="B16" s="29" t="inlineStr">
        <is>
          <t>Accumulation</t>
        </is>
      </c>
      <c r="C16" s="30" t="n">
        <v>3</v>
      </c>
      <c r="D16" s="73" t="inlineStr">
        <is>
          <t>Thursday — Deadlift</t>
        </is>
      </c>
      <c r="E16" s="31" t="inlineStr">
        <is>
          <t>Deadlift, 1.5-rep deadlift (knee height)</t>
        </is>
      </c>
      <c r="F16" s="31" t="inlineStr">
        <is>
          <t>Deadlift gets a 4th set for the first time (4x3 at 76%), placed mid-block once your body has had two weeks to adapt. The 1.5-rep deadlift is now base + 10 lb.</t>
        </is>
      </c>
      <c r="G16" s="32" t="inlineStr">
        <is>
          <t>[ ]</t>
        </is>
      </c>
    </row>
    <row r="17" ht="48" customHeight="1">
      <c r="A17" s="38" t="n">
        <v>3</v>
      </c>
      <c r="B17" s="29" t="inlineStr">
        <is>
          <t>Accumulation</t>
        </is>
      </c>
      <c r="C17" s="39" t="n">
        <v>4</v>
      </c>
      <c r="D17" s="74" t="inlineStr">
        <is>
          <t>Friday — Bench variant / upper body</t>
        </is>
      </c>
      <c r="E17" s="40" t="inlineStr">
        <is>
          <t>Spoto press</t>
        </is>
      </c>
      <c r="F17" s="31" t="inlineStr">
        <is>
          <t>Spoto press (pause an inch or two above the chest) targets the mid-range sticking point where most missed bench reps fail. It's introduced light (60%) so you get comfortable with it before it matters.</t>
        </is>
      </c>
      <c r="G17" s="41" t="inlineStr">
        <is>
          <t>[ ]</t>
        </is>
      </c>
    </row>
    <row r="18" ht="32" customHeight="1">
      <c r="A18" s="28" t="n">
        <v>3</v>
      </c>
      <c r="B18" s="29" t="inlineStr">
        <is>
          <t>Accumulation</t>
        </is>
      </c>
      <c r="C18" s="30" t="n">
        <v>5</v>
      </c>
      <c r="D18" s="73" t="inlineStr">
        <is>
          <t>Saturday — Squat variant + Bent-over row</t>
        </is>
      </c>
      <c r="E18" s="31" t="inlineStr">
        <is>
          <t>Paused squat</t>
        </is>
      </c>
      <c r="F18" s="31" t="inlineStr">
        <is>
          <t>Paused squat moves to 3x4 at base + 10 lb. The bent-over row keeps progressing only by the clean-and-RPE-8-or-lower rule.</t>
        </is>
      </c>
      <c r="G18" s="32" t="inlineStr">
        <is>
          <t>[ ]</t>
        </is>
      </c>
    </row>
    <row r="19" ht="48" customHeight="1">
      <c r="A19" s="38" t="n">
        <v>4</v>
      </c>
      <c r="B19" s="42" t="inlineStr">
        <is>
          <t>Accumulation Peak</t>
        </is>
      </c>
      <c r="C19" s="39" t="n">
        <v>1</v>
      </c>
      <c r="D19" s="74" t="inlineStr">
        <is>
          <t>Monday — Squat</t>
        </is>
      </c>
      <c r="E19" s="40" t="inlineStr">
        <is>
          <t>Squat — top single, Squat — back-off</t>
        </is>
      </c>
      <c r="F19" s="31" t="inlineStr">
        <is>
          <t>This is the hardest squat session of the accumulation block: a top single at 87% followed by 6x3 at 80%, RPE 8. Next week is a deload specifically because this week is designed to leave you fatigued.</t>
        </is>
      </c>
      <c r="G19" s="41" t="inlineStr">
        <is>
          <t>[ ]</t>
        </is>
      </c>
    </row>
    <row r="20" ht="48" customHeight="1">
      <c r="A20" s="28" t="n">
        <v>4</v>
      </c>
      <c r="B20" s="42" t="inlineStr">
        <is>
          <t>Accumulation Peak</t>
        </is>
      </c>
      <c r="C20" s="30" t="n">
        <v>2</v>
      </c>
      <c r="D20" s="73" t="inlineStr">
        <is>
          <t>Tuesday — Bench</t>
        </is>
      </c>
      <c r="E20" s="31" t="inlineStr">
        <is>
          <t>Bench</t>
        </is>
      </c>
      <c r="F20" s="31" t="inlineStr">
        <is>
          <t>Bench volume peaks at 8x3 at 80% of max, RPE 8. That's the most bench sets in the program, and they're timed right before the deload so the fatigue has somewhere to go.</t>
        </is>
      </c>
      <c r="G20" s="32" t="inlineStr">
        <is>
          <t>[ ]</t>
        </is>
      </c>
    </row>
    <row r="21" ht="64" customHeight="1">
      <c r="A21" s="38" t="n">
        <v>4</v>
      </c>
      <c r="B21" s="42" t="inlineStr">
        <is>
          <t>Accumulation Peak</t>
        </is>
      </c>
      <c r="C21" s="39" t="n">
        <v>3</v>
      </c>
      <c r="D21" s="74" t="inlineStr">
        <is>
          <t>Thursday — Deadlift</t>
        </is>
      </c>
      <c r="E21" s="40" t="inlineStr">
        <is>
          <t>Deadlift, 1.5-rep deadlift (knee height)</t>
        </is>
      </c>
      <c r="F21" s="31" t="inlineStr">
        <is>
          <t>4x3 at 80% is the heaviest deadlift session of the block. The 1.5-rep deadlift reaches base + 15 lb. If the main sets beat you up, hold the 1.5-rep weight instead of adding 5 lb. The progression rule always comes before the number.</t>
        </is>
      </c>
      <c r="G21" s="41" t="inlineStr">
        <is>
          <t>[ ]</t>
        </is>
      </c>
    </row>
    <row r="22" ht="32" customHeight="1">
      <c r="A22" s="28" t="n">
        <v>4</v>
      </c>
      <c r="B22" s="42" t="inlineStr">
        <is>
          <t>Accumulation Peak</t>
        </is>
      </c>
      <c r="C22" s="30" t="n">
        <v>4</v>
      </c>
      <c r="D22" s="73" t="inlineStr">
        <is>
          <t>Friday — Bench variant / upper body</t>
        </is>
      </c>
      <c r="E22" s="31" t="inlineStr">
        <is>
          <t>Tempo bench</t>
        </is>
      </c>
      <c r="F22" s="31" t="inlineStr">
        <is>
          <t>Tempo bench at 65% keeps this a lighter technique day. After Tuesday's 8 sets, this session should feel like recovery, not another hard push.</t>
        </is>
      </c>
      <c r="G22" s="32" t="inlineStr">
        <is>
          <t>[ ]</t>
        </is>
      </c>
    </row>
    <row r="23" ht="48" customHeight="1">
      <c r="A23" s="38" t="n">
        <v>4</v>
      </c>
      <c r="B23" s="42" t="inlineStr">
        <is>
          <t>Accumulation Peak</t>
        </is>
      </c>
      <c r="C23" s="39" t="n">
        <v>5</v>
      </c>
      <c r="D23" s="74" t="inlineStr">
        <is>
          <t>Saturday — Squat variant + Bent-over row</t>
        </is>
      </c>
      <c r="E23" s="40" t="inlineStr">
        <is>
          <t>Paused squat</t>
        </is>
      </c>
      <c r="F23" s="31" t="inlineStr">
        <is>
          <t>Paused squat reaches its accumulation peak at base + 15 lb for 3x3. Fatigue is highest at the end of this week. If the row or the squat goes above RPE 8, don't add weight next time.</t>
        </is>
      </c>
      <c r="G23" s="41" t="inlineStr">
        <is>
          <t>[ ]</t>
        </is>
      </c>
    </row>
    <row r="24" ht="80" customHeight="1">
      <c r="A24" s="28" t="n">
        <v>5</v>
      </c>
      <c r="B24" s="43" t="inlineStr">
        <is>
          <t>Deload</t>
        </is>
      </c>
      <c r="C24" s="30" t="n">
        <v>1</v>
      </c>
      <c r="D24" s="73" t="inlineStr">
        <is>
          <t>Monday — Squat</t>
        </is>
      </c>
      <c r="E24" s="31" t="inlineStr">
        <is>
          <t>Squat — top single, Squat — back-off</t>
        </is>
      </c>
      <c r="F24" s="31" t="inlineStr">
        <is>
          <t>Everything drops to about 60% of max. The top single at 60% is optional. Skip it if it feels slow or your technique is off. The point of this week is to let four weeks of fatigue clear so Week 6 starts rested. Don't push harder than prescribed. Cutting the deload short undermines the whole next block.</t>
        </is>
      </c>
      <c r="G24" s="32" t="inlineStr">
        <is>
          <t>[ ]</t>
        </is>
      </c>
    </row>
    <row r="25" ht="32" customHeight="1">
      <c r="A25" s="38" t="n">
        <v>5</v>
      </c>
      <c r="B25" s="43" t="inlineStr">
        <is>
          <t>Deload</t>
        </is>
      </c>
      <c r="C25" s="39" t="n">
        <v>2</v>
      </c>
      <c r="D25" s="74" t="inlineStr">
        <is>
          <t>Tuesday — Bench</t>
        </is>
      </c>
      <c r="E25" s="40" t="inlineStr">
        <is>
          <t>Bench</t>
        </is>
      </c>
      <c r="F25" s="31" t="inlineStr">
        <is>
          <t>Bench drops to 5x3 at 60% of max, RPE 6. The volume stays moderate but the weight is light enough to recover.</t>
        </is>
      </c>
      <c r="G25" s="41" t="inlineStr">
        <is>
          <t>[ ]</t>
        </is>
      </c>
    </row>
    <row r="26" ht="48" customHeight="1">
      <c r="A26" s="28" t="n">
        <v>5</v>
      </c>
      <c r="B26" s="43" t="inlineStr">
        <is>
          <t>Deload</t>
        </is>
      </c>
      <c r="C26" s="30" t="n">
        <v>3</v>
      </c>
      <c r="D26" s="73" t="inlineStr">
        <is>
          <t>Thursday — Deadlift</t>
        </is>
      </c>
      <c r="E26" s="31" t="inlineStr">
        <is>
          <t>Deadlift, 1.5-rep deadlift (knee height)</t>
        </is>
      </c>
      <c r="F26" s="31" t="inlineStr">
        <is>
          <t>Deadlift drops to 55% of max, the lightest of the three lifts, because deadlift builds up the most fatigue. The 1.5-rep deadlift drops to 2x3 at 55% of estimated true max.</t>
        </is>
      </c>
      <c r="G26" s="32" t="inlineStr">
        <is>
          <t>[ ]</t>
        </is>
      </c>
    </row>
    <row r="27" ht="32" customHeight="1">
      <c r="A27" s="38" t="n">
        <v>5</v>
      </c>
      <c r="B27" s="43" t="inlineStr">
        <is>
          <t>Deload</t>
        </is>
      </c>
      <c r="C27" s="39" t="n">
        <v>4</v>
      </c>
      <c r="D27" s="74" t="inlineStr">
        <is>
          <t>Friday — Bench variant / upper body</t>
        </is>
      </c>
      <c r="E27" s="40" t="inlineStr">
        <is>
          <t>Light paused bench</t>
        </is>
      </c>
      <c r="F27" s="31" t="inlineStr">
        <is>
          <t>Light paused bench and only 2 sets of each accessory. This day should feel almost too easy, and that's correct.</t>
        </is>
      </c>
      <c r="G27" s="41" t="inlineStr">
        <is>
          <t>[ ]</t>
        </is>
      </c>
    </row>
    <row r="28" ht="32" customHeight="1">
      <c r="A28" s="28" t="n">
        <v>5</v>
      </c>
      <c r="B28" s="43" t="inlineStr">
        <is>
          <t>Deload</t>
        </is>
      </c>
      <c r="C28" s="30" t="n">
        <v>5</v>
      </c>
      <c r="D28" s="73" t="inlineStr">
        <is>
          <t>Saturday — Squat variant + Bent-over row</t>
        </is>
      </c>
      <c r="E28" s="31" t="inlineStr">
        <is>
          <t>Paused squat</t>
        </is>
      </c>
      <c r="F28" s="31" t="inlineStr">
        <is>
          <t>Paused squat drops to 2x3 at 55% of max. Rows keep going as an easy pattern day with lighter weight or fewer reps and no grinding.</t>
        </is>
      </c>
      <c r="G28" s="32" t="inlineStr">
        <is>
          <t>[ ]</t>
        </is>
      </c>
    </row>
    <row r="29" ht="64" customHeight="1">
      <c r="A29" s="38" t="n">
        <v>6</v>
      </c>
      <c r="B29" s="34" t="inlineStr">
        <is>
          <t>Intensification</t>
        </is>
      </c>
      <c r="C29" s="39" t="n">
        <v>1</v>
      </c>
      <c r="D29" s="74" t="inlineStr">
        <is>
          <t>Monday — Squat</t>
        </is>
      </c>
      <c r="E29" s="40" t="inlineStr">
        <is>
          <t>Squat — top single, Squat — back-off</t>
        </is>
      </c>
      <c r="F29" s="31" t="inlineStr">
        <is>
          <t>Intensification starts. The top single jumps to 90% of max, but it's capped at RPE 8. If it isn't smooth, don't push it. The back-offs drop to 5x3 at 83%. Because you're rested, RPE 8 here should feel similar to Week 4's RPE 8 even though the weight is heavier.</t>
        </is>
      </c>
      <c r="G29" s="41" t="inlineStr">
        <is>
          <t>[ ]</t>
        </is>
      </c>
    </row>
    <row r="30" ht="32" customHeight="1">
      <c r="A30" s="28" t="n">
        <v>6</v>
      </c>
      <c r="B30" s="34" t="inlineStr">
        <is>
          <t>Intensification</t>
        </is>
      </c>
      <c r="C30" s="30" t="n">
        <v>2</v>
      </c>
      <c r="D30" s="73" t="inlineStr">
        <is>
          <t>Tuesday — Bench</t>
        </is>
      </c>
      <c r="E30" s="31" t="inlineStr">
        <is>
          <t>Bench</t>
        </is>
      </c>
      <c r="F30" s="31" t="inlineStr">
        <is>
          <t>Bench is 7x3 at 83% of max, RPE 8: fewer reps per set and heavier weight than the accumulation block.</t>
        </is>
      </c>
      <c r="G30" s="32" t="inlineStr">
        <is>
          <t>[ ]</t>
        </is>
      </c>
    </row>
    <row r="31" ht="48" customHeight="1">
      <c r="A31" s="38" t="n">
        <v>6</v>
      </c>
      <c r="B31" s="34" t="inlineStr">
        <is>
          <t>Intensification</t>
        </is>
      </c>
      <c r="C31" s="39" t="n">
        <v>3</v>
      </c>
      <c r="D31" s="74" t="inlineStr">
        <is>
          <t>Thursday — Deadlift</t>
        </is>
      </c>
      <c r="E31" s="40" t="inlineStr">
        <is>
          <t>Deadlift, 1.5-rep deadlift (knee height)</t>
        </is>
      </c>
      <c r="F31" s="31" t="inlineStr">
        <is>
          <t>Deadlift drops to 3 sets (3x3 at 82%) as the weight goes up, protecting recovery. The 1.5-rep deadlift picks up at base + 25 lb. The deload week counts on the weekly calendar, so this is 5 weeks of progression from Week 1.</t>
        </is>
      </c>
      <c r="G31" s="41" t="inlineStr">
        <is>
          <t>[ ]</t>
        </is>
      </c>
    </row>
    <row r="32" ht="32" customHeight="1">
      <c r="A32" s="28" t="n">
        <v>6</v>
      </c>
      <c r="B32" s="34" t="inlineStr">
        <is>
          <t>Intensification</t>
        </is>
      </c>
      <c r="C32" s="30" t="n">
        <v>4</v>
      </c>
      <c r="D32" s="73" t="inlineStr">
        <is>
          <t>Friday — Bench variant / upper body</t>
        </is>
      </c>
      <c r="E32" s="31" t="inlineStr">
        <is>
          <t>Spoto press</t>
        </is>
      </c>
      <c r="F32" s="31" t="inlineStr">
        <is>
          <t>Spoto press goes to 65% but stays a submaximal support day. This session's job is technique and upper-body support, not a new heavy weight.</t>
        </is>
      </c>
      <c r="G32" s="32" t="inlineStr">
        <is>
          <t>[ ]</t>
        </is>
      </c>
    </row>
    <row r="33" ht="32" customHeight="1">
      <c r="A33" s="38" t="n">
        <v>6</v>
      </c>
      <c r="B33" s="34" t="inlineStr">
        <is>
          <t>Intensification</t>
        </is>
      </c>
      <c r="C33" s="39" t="n">
        <v>5</v>
      </c>
      <c r="D33" s="74" t="inlineStr">
        <is>
          <t>Saturday — Squat variant + Bent-over row</t>
        </is>
      </c>
      <c r="E33" s="40" t="inlineStr">
        <is>
          <t>Paused squat</t>
        </is>
      </c>
      <c r="F33" s="31" t="inlineStr">
        <is>
          <t>Paused squat resumes its progression at base + 20 lb for 3x4. This is its last week before the switch to high-bar squat.</t>
        </is>
      </c>
      <c r="G33" s="41" t="inlineStr">
        <is>
          <t>[ ]</t>
        </is>
      </c>
    </row>
    <row r="34" ht="48" customHeight="1">
      <c r="A34" s="28" t="n">
        <v>7</v>
      </c>
      <c r="B34" s="34" t="inlineStr">
        <is>
          <t>Intensification</t>
        </is>
      </c>
      <c r="C34" s="30" t="n">
        <v>1</v>
      </c>
      <c r="D34" s="73" t="inlineStr">
        <is>
          <t>Monday — Squat</t>
        </is>
      </c>
      <c r="E34" s="31" t="inlineStr">
        <is>
          <t>Squat — top single, Squat — back-off</t>
        </is>
      </c>
      <c r="F34" s="31" t="inlineStr">
        <is>
          <t>The top single moves to 92% of max, RPE 8 cap. Back-offs drop to doubles: 5x2 at 87%. This is where you start feeling real weight on the bar. Keep every rep crisp.</t>
        </is>
      </c>
      <c r="G34" s="32" t="inlineStr">
        <is>
          <t>[ ]</t>
        </is>
      </c>
    </row>
    <row r="35" ht="32" customHeight="1">
      <c r="A35" s="38" t="n">
        <v>7</v>
      </c>
      <c r="B35" s="34" t="inlineStr">
        <is>
          <t>Intensification</t>
        </is>
      </c>
      <c r="C35" s="39" t="n">
        <v>2</v>
      </c>
      <c r="D35" s="74" t="inlineStr">
        <is>
          <t>Tuesday — Bench</t>
        </is>
      </c>
      <c r="E35" s="40" t="inlineStr">
        <is>
          <t>Bench</t>
        </is>
      </c>
      <c r="F35" s="31" t="inlineStr">
        <is>
          <t>Bench is 8x2 at 87% of max. Bench handles more sets at heavy weight than squat or deadlift, so it gets the most doubles.</t>
        </is>
      </c>
      <c r="G35" s="41" t="inlineStr">
        <is>
          <t>[ ]</t>
        </is>
      </c>
    </row>
    <row r="36" ht="32" customHeight="1">
      <c r="A36" s="28" t="n">
        <v>7</v>
      </c>
      <c r="B36" s="34" t="inlineStr">
        <is>
          <t>Intensification</t>
        </is>
      </c>
      <c r="C36" s="30" t="n">
        <v>3</v>
      </c>
      <c r="D36" s="73" t="inlineStr">
        <is>
          <t>Thursday — Deadlift</t>
        </is>
      </c>
      <c r="E36" s="31" t="inlineStr">
        <is>
          <t>Deadlift, 1.5-rep deadlift (knee height)</t>
        </is>
      </c>
      <c r="F36" s="31" t="inlineStr">
        <is>
          <t>Deadlift is 4x2 at 86%. The 1.5-rep deadlift is now base + 30 lb, so watch the RPE 7 rule closely as the main lift gets heavy.</t>
        </is>
      </c>
      <c r="G36" s="32" t="inlineStr">
        <is>
          <t>[ ]</t>
        </is>
      </c>
    </row>
    <row r="37" ht="32" customHeight="1">
      <c r="A37" s="38" t="n">
        <v>7</v>
      </c>
      <c r="B37" s="34" t="inlineStr">
        <is>
          <t>Intensification</t>
        </is>
      </c>
      <c r="C37" s="39" t="n">
        <v>4</v>
      </c>
      <c r="D37" s="74" t="inlineStr">
        <is>
          <t>Friday — Bench variant / upper body</t>
        </is>
      </c>
      <c r="E37" s="40" t="inlineStr">
        <is>
          <t>Tempo bench</t>
        </is>
      </c>
      <c r="F37" s="31" t="inlineStr">
        <is>
          <t>Tempo bench at 65% returns as the lighter bench movement. This day's purpose hasn't changed: practice technique without adding to the week's fatigue.</t>
        </is>
      </c>
      <c r="G37" s="41" t="inlineStr">
        <is>
          <t>[ ]</t>
        </is>
      </c>
    </row>
    <row r="38" ht="64" customHeight="1">
      <c r="A38" s="28" t="n">
        <v>7</v>
      </c>
      <c r="B38" s="34" t="inlineStr">
        <is>
          <t>Intensification</t>
        </is>
      </c>
      <c r="C38" s="30" t="n">
        <v>5</v>
      </c>
      <c r="D38" s="73" t="inlineStr">
        <is>
          <t>Saturday — Squat variant + Bent-over row</t>
        </is>
      </c>
      <c r="E38" s="31" t="inlineStr">
        <is>
          <t>High-bar squat</t>
        </is>
      </c>
      <c r="F38" s="31" t="inlineStr">
        <is>
          <t>The secondary squat switches to high-bar squat starting at 75% of max for 3x3. High-bar puts more load on the quads with a more upright torso, building a different part of the squat than Monday's work. It adds 5 lb per week from here.</t>
        </is>
      </c>
      <c r="G38" s="32" t="inlineStr">
        <is>
          <t>[ ]</t>
        </is>
      </c>
    </row>
    <row r="39" ht="48" customHeight="1">
      <c r="A39" s="38" t="n">
        <v>8</v>
      </c>
      <c r="B39" s="34" t="inlineStr">
        <is>
          <t>Intensification</t>
        </is>
      </c>
      <c r="C39" s="39" t="n">
        <v>1</v>
      </c>
      <c r="D39" s="74" t="inlineStr">
        <is>
          <t>Monday — Squat</t>
        </is>
      </c>
      <c r="E39" s="40" t="inlineStr">
        <is>
          <t>Squat — top single, Squat — back-off</t>
        </is>
      </c>
      <c r="F39" s="31" t="inlineStr">
        <is>
          <t>The top single stays at 92% of max, but the back-offs drop to 3x2 at 87%, capped at RPE 8. As the weight gets heavy, rep quality matters more than total reps.</t>
        </is>
      </c>
      <c r="G39" s="41" t="inlineStr">
        <is>
          <t>[ ]</t>
        </is>
      </c>
    </row>
    <row r="40" ht="32" customHeight="1">
      <c r="A40" s="28" t="n">
        <v>8</v>
      </c>
      <c r="B40" s="34" t="inlineStr">
        <is>
          <t>Intensification</t>
        </is>
      </c>
      <c r="C40" s="30" t="n">
        <v>2</v>
      </c>
      <c r="D40" s="73" t="inlineStr">
        <is>
          <t>Tuesday — Bench</t>
        </is>
      </c>
      <c r="E40" s="31" t="inlineStr">
        <is>
          <t>Bench</t>
        </is>
      </c>
      <c r="F40" s="31" t="inlineStr">
        <is>
          <t>Bench is 7x2 at 90% of max, RPE 8-9. This is the heaviest bench work of the program, close to what a competition attempt will feel like.</t>
        </is>
      </c>
      <c r="G40" s="32" t="inlineStr">
        <is>
          <t>[ ]</t>
        </is>
      </c>
    </row>
    <row r="41" ht="48" customHeight="1">
      <c r="A41" s="38" t="n">
        <v>8</v>
      </c>
      <c r="B41" s="34" t="inlineStr">
        <is>
          <t>Intensification</t>
        </is>
      </c>
      <c r="C41" s="39" t="n">
        <v>3</v>
      </c>
      <c r="D41" s="74" t="inlineStr">
        <is>
          <t>Thursday — Deadlift</t>
        </is>
      </c>
      <c r="E41" s="40" t="inlineStr">
        <is>
          <t>Deadlift, 1.5-rep deadlift (knee height)</t>
        </is>
      </c>
      <c r="F41" s="31" t="inlineStr">
        <is>
          <t>Deadlift is 3x2 at 89%, RPE 8-9. That's 3 quality doubles at the heaviest deadlift weight so far, which is enough without hurting next week's recovery. The 1.5-rep deadlift is base + 35 lb.</t>
        </is>
      </c>
      <c r="G41" s="41" t="inlineStr">
        <is>
          <t>[ ]</t>
        </is>
      </c>
    </row>
    <row r="42" ht="32" customHeight="1">
      <c r="A42" s="28" t="n">
        <v>8</v>
      </c>
      <c r="B42" s="34" t="inlineStr">
        <is>
          <t>Intensification</t>
        </is>
      </c>
      <c r="C42" s="30" t="n">
        <v>4</v>
      </c>
      <c r="D42" s="73" t="inlineStr">
        <is>
          <t>Friday — Bench variant / upper body</t>
        </is>
      </c>
      <c r="E42" s="31" t="inlineStr">
        <is>
          <t>Paused bench</t>
        </is>
      </c>
      <c r="F42" s="31" t="inlineStr">
        <is>
          <t>Paused bench at 70% and trimmed accessories. The week's real work already happened on Days 1-3.</t>
        </is>
      </c>
      <c r="G42" s="32" t="inlineStr">
        <is>
          <t>[ ]</t>
        </is>
      </c>
    </row>
    <row r="43" ht="32" customHeight="1">
      <c r="A43" s="38" t="n">
        <v>8</v>
      </c>
      <c r="B43" s="34" t="inlineStr">
        <is>
          <t>Intensification</t>
        </is>
      </c>
      <c r="C43" s="39" t="n">
        <v>5</v>
      </c>
      <c r="D43" s="74" t="inlineStr">
        <is>
          <t>Saturday — Squat variant + Bent-over row</t>
        </is>
      </c>
      <c r="E43" s="40" t="inlineStr">
        <is>
          <t>High-bar squat</t>
        </is>
      </c>
      <c r="F43" s="31" t="inlineStr">
        <is>
          <t>High-bar squat is base + 5 lb for 2x3. Volume drops as the main lifts get heavier.</t>
        </is>
      </c>
      <c r="G43" s="41" t="inlineStr">
        <is>
          <t>[ ]</t>
        </is>
      </c>
    </row>
    <row r="44" ht="64" customHeight="1">
      <c r="A44" s="28" t="n">
        <v>9</v>
      </c>
      <c r="B44" s="44" t="inlineStr">
        <is>
          <t>Top of Intensification</t>
        </is>
      </c>
      <c r="C44" s="30" t="n">
        <v>1</v>
      </c>
      <c r="D44" s="73" t="inlineStr">
        <is>
          <t>Monday — Squat</t>
        </is>
      </c>
      <c r="E44" s="31" t="inlineStr">
        <is>
          <t>Squat — top single, Squat — back-off</t>
        </is>
      </c>
      <c r="F44" s="31" t="inlineStr">
        <is>
          <t>This is the final heavy exposure before the deload: the top single at 92% of max (RPE 8 cap), then only 2x2 at 87%. Cut the back-offs if needed. Protecting freshness for Weeks 11-13 matters more than finishing every rep here.</t>
        </is>
      </c>
      <c r="G44" s="32" t="inlineStr">
        <is>
          <t>[ ]</t>
        </is>
      </c>
    </row>
    <row r="45" ht="32" customHeight="1">
      <c r="A45" s="38" t="n">
        <v>9</v>
      </c>
      <c r="B45" s="44" t="inlineStr">
        <is>
          <t>Top of Intensification</t>
        </is>
      </c>
      <c r="C45" s="39" t="n">
        <v>2</v>
      </c>
      <c r="D45" s="74" t="inlineStr">
        <is>
          <t>Tuesday — Bench</t>
        </is>
      </c>
      <c r="E45" s="40" t="inlineStr">
        <is>
          <t>Bench</t>
        </is>
      </c>
      <c r="F45" s="31" t="inlineStr">
        <is>
          <t>Bench drops to 6x2 at 88% of max, RPE 8-9. Volume comes down from Week 8 so you arrive at the deload ready to recover.</t>
        </is>
      </c>
      <c r="G45" s="41" t="inlineStr">
        <is>
          <t>[ ]</t>
        </is>
      </c>
    </row>
    <row r="46" ht="48" customHeight="1">
      <c r="A46" s="28" t="n">
        <v>9</v>
      </c>
      <c r="B46" s="44" t="inlineStr">
        <is>
          <t>Top of Intensification</t>
        </is>
      </c>
      <c r="C46" s="30" t="n">
        <v>3</v>
      </c>
      <c r="D46" s="73" t="inlineStr">
        <is>
          <t>Thursday — Deadlift</t>
        </is>
      </c>
      <c r="E46" s="31" t="inlineStr">
        <is>
          <t>Deadlift, 1.5-rep deadlift (knee height)</t>
        </is>
      </c>
      <c r="F46" s="31" t="inlineStr">
        <is>
          <t>Deadlift is 2x2 at 88%, the fewest sets of the block, because it recovers slowest. The 1.5-rep deadlift reaches base + 40 lb. Skip the jump if the main doubles were a grind.</t>
        </is>
      </c>
      <c r="G46" s="32" t="inlineStr">
        <is>
          <t>[ ]</t>
        </is>
      </c>
    </row>
    <row r="47" ht="32" customHeight="1">
      <c r="A47" s="38" t="n">
        <v>9</v>
      </c>
      <c r="B47" s="44" t="inlineStr">
        <is>
          <t>Top of Intensification</t>
        </is>
      </c>
      <c r="C47" s="39" t="n">
        <v>4</v>
      </c>
      <c r="D47" s="74" t="inlineStr">
        <is>
          <t>Friday — Bench variant / upper body</t>
        </is>
      </c>
      <c r="E47" s="40" t="inlineStr">
        <is>
          <t>Competition-style bench</t>
        </is>
      </c>
      <c r="F47" s="31" t="inlineStr">
        <is>
          <t>Competition-style bench means pause, grip and setup exactly as you'll test. This is a technique rehearsal at a manageable 83%, not a heavy push.</t>
        </is>
      </c>
      <c r="G47" s="41" t="inlineStr">
        <is>
          <t>[ ]</t>
        </is>
      </c>
    </row>
    <row r="48" ht="32" customHeight="1">
      <c r="A48" s="28" t="n">
        <v>9</v>
      </c>
      <c r="B48" s="44" t="inlineStr">
        <is>
          <t>Top of Intensification</t>
        </is>
      </c>
      <c r="C48" s="30" t="n">
        <v>5</v>
      </c>
      <c r="D48" s="73" t="inlineStr">
        <is>
          <t>Saturday — Squat variant + Bent-over row</t>
        </is>
      </c>
      <c r="E48" s="31" t="inlineStr">
        <is>
          <t>High-bar squat</t>
        </is>
      </c>
      <c r="F48" s="31" t="inlineStr">
        <is>
          <t>High-bar squat is base + 10 lb for 2x2. That's low volume, only enough to keep the progression going.</t>
        </is>
      </c>
      <c r="G48" s="32" t="inlineStr">
        <is>
          <t>[ ]</t>
        </is>
      </c>
    </row>
    <row r="49" ht="48" customHeight="1">
      <c r="A49" s="38" t="n">
        <v>10</v>
      </c>
      <c r="B49" s="43" t="inlineStr">
        <is>
          <t>Deload</t>
        </is>
      </c>
      <c r="C49" s="39" t="n">
        <v>1</v>
      </c>
      <c r="D49" s="74" t="inlineStr">
        <is>
          <t>Monday — Squat</t>
        </is>
      </c>
      <c r="E49" s="40" t="inlineStr">
        <is>
          <t>Squat — top single, Squat — back-off</t>
        </is>
      </c>
      <c r="F49" s="31" t="inlineStr">
        <is>
          <t>This is the second deload. The top single at 60% of max is optional, so skip it if anything feels off. Back-offs are 3x2 at 65%, RPE 6. This week clears the fatigue from three weeks of heavy intensification before the peak.</t>
        </is>
      </c>
      <c r="G49" s="41" t="inlineStr">
        <is>
          <t>[ ]</t>
        </is>
      </c>
    </row>
    <row r="50" ht="32" customHeight="1">
      <c r="A50" s="28" t="n">
        <v>10</v>
      </c>
      <c r="B50" s="43" t="inlineStr">
        <is>
          <t>Deload</t>
        </is>
      </c>
      <c r="C50" s="30" t="n">
        <v>2</v>
      </c>
      <c r="D50" s="73" t="inlineStr">
        <is>
          <t>Tuesday — Bench</t>
        </is>
      </c>
      <c r="E50" s="31" t="inlineStr">
        <is>
          <t>Bench</t>
        </is>
      </c>
      <c r="F50" s="31" t="inlineStr">
        <is>
          <t>Bench drops to 5x2 at 65% of max, RPE 6. The intensity drop has the same purpose as the squat deload.</t>
        </is>
      </c>
      <c r="G50" s="32" t="inlineStr">
        <is>
          <t>[ ]</t>
        </is>
      </c>
    </row>
    <row r="51" ht="32" customHeight="1">
      <c r="A51" s="38" t="n">
        <v>10</v>
      </c>
      <c r="B51" s="43" t="inlineStr">
        <is>
          <t>Deload</t>
        </is>
      </c>
      <c r="C51" s="39" t="n">
        <v>3</v>
      </c>
      <c r="D51" s="74" t="inlineStr">
        <is>
          <t>Thursday — Deadlift</t>
        </is>
      </c>
      <c r="E51" s="40" t="inlineStr">
        <is>
          <t>Deadlift, 1.5-rep deadlift (knee height)</t>
        </is>
      </c>
      <c r="F51" s="31" t="inlineStr">
        <is>
          <t>Deadlift drops to 60% of max for 2x2. The 1.5-rep deadlift drops to 2x3 at 55% of estimated true max, matching the Week 5 deload.</t>
        </is>
      </c>
      <c r="G51" s="41" t="inlineStr">
        <is>
          <t>[ ]</t>
        </is>
      </c>
    </row>
    <row r="52" ht="32" customHeight="1">
      <c r="A52" s="28" t="n">
        <v>10</v>
      </c>
      <c r="B52" s="43" t="inlineStr">
        <is>
          <t>Deload</t>
        </is>
      </c>
      <c r="C52" s="30" t="n">
        <v>4</v>
      </c>
      <c r="D52" s="73" t="inlineStr">
        <is>
          <t>Friday — Bench variant / upper body</t>
        </is>
      </c>
      <c r="E52" s="31" t="inlineStr">
        <is>
          <t>Light paused bench</t>
        </is>
      </c>
      <c r="F52" s="31" t="inlineStr">
        <is>
          <t>Light paused bench at 60% and minimal accessories. The only goal is blood flow and keeping the pattern sharp.</t>
        </is>
      </c>
      <c r="G52" s="32" t="inlineStr">
        <is>
          <t>[ ]</t>
        </is>
      </c>
    </row>
    <row r="53" ht="48" customHeight="1">
      <c r="A53" s="38" t="n">
        <v>10</v>
      </c>
      <c r="B53" s="43" t="inlineStr">
        <is>
          <t>Deload</t>
        </is>
      </c>
      <c r="C53" s="39" t="n">
        <v>5</v>
      </c>
      <c r="D53" s="74" t="inlineStr">
        <is>
          <t>Saturday — Squat variant + Bent-over row</t>
        </is>
      </c>
      <c r="E53" s="40" t="inlineStr">
        <is>
          <t>High-bar squat</t>
        </is>
      </c>
      <c r="F53" s="31" t="inlineStr">
        <is>
          <t>High-bar squat drops to 2x2 at 60% of max, and rows are easy. By the end of this week you should feel noticeably fresher. If you don't, consider extra rest before Week 11 instead of pushing into it tired.</t>
        </is>
      </c>
      <c r="G53" s="41" t="inlineStr">
        <is>
          <t>[ ]</t>
        </is>
      </c>
    </row>
    <row r="54" ht="48" customHeight="1">
      <c r="A54" s="28" t="n">
        <v>11</v>
      </c>
      <c r="B54" s="45" t="inlineStr">
        <is>
          <t>Peak / Realization</t>
        </is>
      </c>
      <c r="C54" s="30" t="n">
        <v>1</v>
      </c>
      <c r="D54" s="73" t="inlineStr">
        <is>
          <t>Monday — Squat</t>
        </is>
      </c>
      <c r="E54" s="31" t="inlineStr">
        <is>
          <t>Squat — top single, Squat — back-off</t>
        </is>
      </c>
      <c r="F54" s="31" t="inlineStr">
        <is>
          <t>Peak week starts with a true heavy single at 90% of max, RPE 8-9, then 2 crisp back-off singles at 82%, RPE 6-7. The singles keep your nervous system sharp without the fatigue of real volume.</t>
        </is>
      </c>
      <c r="G54" s="32" t="inlineStr">
        <is>
          <t>[ ]</t>
        </is>
      </c>
    </row>
    <row r="55" ht="48" customHeight="1">
      <c r="A55" s="38" t="n">
        <v>11</v>
      </c>
      <c r="B55" s="45" t="inlineStr">
        <is>
          <t>Peak / Realization</t>
        </is>
      </c>
      <c r="C55" s="39" t="n">
        <v>2</v>
      </c>
      <c r="D55" s="74" t="inlineStr">
        <is>
          <t>Tuesday — Bench</t>
        </is>
      </c>
      <c r="E55" s="40" t="inlineStr">
        <is>
          <t>Bench — top single, Bench — back-off</t>
        </is>
      </c>
      <c r="F55" s="31" t="inlineStr">
        <is>
          <t>Bench now gets its own top single at 90% of max (RPE 8-9 cap), then 4 back-off singles at 82%. That's two more back-off sets than the original 2x1 because bench recovers fastest. Stop the back-offs if bar speed drops.</t>
        </is>
      </c>
      <c r="G55" s="41" t="inlineStr">
        <is>
          <t>[ ]</t>
        </is>
      </c>
    </row>
    <row r="56" ht="48" customHeight="1">
      <c r="A56" s="28" t="n">
        <v>11</v>
      </c>
      <c r="B56" s="45" t="inlineStr">
        <is>
          <t>Peak / Realization</t>
        </is>
      </c>
      <c r="C56" s="30" t="n">
        <v>3</v>
      </c>
      <c r="D56" s="73" t="inlineStr">
        <is>
          <t>Thursday — Deadlift</t>
        </is>
      </c>
      <c r="E56" s="31" t="inlineStr">
        <is>
          <t>Deadlift, 1.5-rep deadlift (knee height)</t>
        </is>
      </c>
      <c r="F56" s="31" t="inlineStr">
        <is>
          <t>One heavy deadlift single at 88%, RPE 8-9. The 1.5-rep deadlift continues at base + 50 lb for 3x3. Hold the weight or cut a set if the single was hard, because test week is close.</t>
        </is>
      </c>
      <c r="G56" s="32" t="inlineStr">
        <is>
          <t>[ ]</t>
        </is>
      </c>
    </row>
    <row r="57" ht="32" customHeight="1">
      <c r="A57" s="38" t="n">
        <v>11</v>
      </c>
      <c r="B57" s="45" t="inlineStr">
        <is>
          <t>Peak / Realization</t>
        </is>
      </c>
      <c r="C57" s="39" t="n">
        <v>4</v>
      </c>
      <c r="D57" s="74" t="inlineStr">
        <is>
          <t>Friday — Bench variant / upper body</t>
        </is>
      </c>
      <c r="E57" s="40" t="inlineStr">
        <is>
          <t>Competition-style bench</t>
        </is>
      </c>
      <c r="F57" s="31" t="inlineStr">
        <is>
          <t>Competition-style bench at 75%, lighter than Week 9's version. As testing gets closer, every non-peak day should get easier.</t>
        </is>
      </c>
      <c r="G57" s="41" t="inlineStr">
        <is>
          <t>[ ]</t>
        </is>
      </c>
    </row>
    <row r="58" ht="32" customHeight="1">
      <c r="A58" s="28" t="n">
        <v>11</v>
      </c>
      <c r="B58" s="45" t="inlineStr">
        <is>
          <t>Peak / Realization</t>
        </is>
      </c>
      <c r="C58" s="30" t="n">
        <v>5</v>
      </c>
      <c r="D58" s="73" t="inlineStr">
        <is>
          <t>Saturday — Squat variant + Bent-over row</t>
        </is>
      </c>
      <c r="E58" s="31" t="inlineStr">
        <is>
          <t>High-bar squat</t>
        </is>
      </c>
      <c r="F58" s="31" t="inlineStr">
        <is>
          <t>High-bar squat resumes progression at base + 15 lb for 2x2. Rows continue, kept clean and well short of failure.</t>
        </is>
      </c>
      <c r="G58" s="32" t="inlineStr">
        <is>
          <t>[ ]</t>
        </is>
      </c>
    </row>
    <row r="59" ht="80" customHeight="1">
      <c r="A59" s="38" t="n">
        <v>12</v>
      </c>
      <c r="B59" s="46" t="inlineStr">
        <is>
          <t>Taper</t>
        </is>
      </c>
      <c r="C59" s="39" t="n">
        <v>1</v>
      </c>
      <c r="D59" s="74" t="inlineStr">
        <is>
          <t>Monday — Squat</t>
        </is>
      </c>
      <c r="E59" s="40" t="inlineStr">
        <is>
          <t>Squat — top single, Squat — back-off</t>
        </is>
      </c>
      <c r="F59" s="31" t="inlineStr">
        <is>
          <t>Taper week. The top single is capped at RPE 7 (80% of max) and should be crisp only. The 2 back-off singles at 82% are taper volume at RPE 6-7. Note: the back-off singles are prescribed slightly heavier than the top single. Nothing here is a max effort. The goal is to stay sharp while fatigue drops.</t>
        </is>
      </c>
      <c r="G59" s="41" t="inlineStr">
        <is>
          <t>[ ]</t>
        </is>
      </c>
    </row>
    <row r="60" ht="48" customHeight="1">
      <c r="A60" s="28" t="n">
        <v>12</v>
      </c>
      <c r="B60" s="46" t="inlineStr">
        <is>
          <t>Taper</t>
        </is>
      </c>
      <c r="C60" s="30" t="n">
        <v>2</v>
      </c>
      <c r="D60" s="73" t="inlineStr">
        <is>
          <t>Tuesday — Bench</t>
        </is>
      </c>
      <c r="E60" s="31" t="inlineStr">
        <is>
          <t>Bench</t>
        </is>
      </c>
      <c r="F60" s="31" t="inlineStr">
        <is>
          <t>Bench is 5 singles at 85% of max, RPE 7-8. Intensity stays high so your nervous system stays sharp, while volume is low enough to arrive at test day fresh.</t>
        </is>
      </c>
      <c r="G60" s="32" t="inlineStr">
        <is>
          <t>[ ]</t>
        </is>
      </c>
    </row>
    <row r="61" ht="48" customHeight="1">
      <c r="A61" s="38" t="n">
        <v>12</v>
      </c>
      <c r="B61" s="46" t="inlineStr">
        <is>
          <t>Taper</t>
        </is>
      </c>
      <c r="C61" s="39" t="n">
        <v>3</v>
      </c>
      <c r="D61" s="74" t="inlineStr">
        <is>
          <t>Thursday — Deadlift</t>
        </is>
      </c>
      <c r="E61" s="40" t="inlineStr">
        <is>
          <t>Deadlift, 1.5-rep deadlift (knee height)</t>
        </is>
      </c>
      <c r="F61" s="31" t="inlineStr">
        <is>
          <t>Deadlift is 2 singles at 82%, RPE 7. The 1.5-rep deadlift reaches its last progression step at base + 55 lb. If it's anything above RPE 7, drop the weight. Freshness for test day comes first.</t>
        </is>
      </c>
      <c r="G61" s="41" t="inlineStr">
        <is>
          <t>[ ]</t>
        </is>
      </c>
    </row>
    <row r="62" ht="32" customHeight="1">
      <c r="A62" s="28" t="n">
        <v>12</v>
      </c>
      <c r="B62" s="46" t="inlineStr">
        <is>
          <t>Taper</t>
        </is>
      </c>
      <c r="C62" s="30" t="n">
        <v>4</v>
      </c>
      <c r="D62" s="73" t="inlineStr">
        <is>
          <t>Friday — Bench variant / upper body</t>
        </is>
      </c>
      <c r="E62" s="31" t="inlineStr">
        <is>
          <t>Bench lockout support</t>
        </is>
      </c>
      <c r="F62" s="31" t="inlineStr">
        <is>
          <t>Purely maintenance: light lockout work at 65% and one set of pulldowns. Nothing in this session should feel hard.</t>
        </is>
      </c>
      <c r="G62" s="32" t="inlineStr">
        <is>
          <t>[ ]</t>
        </is>
      </c>
    </row>
    <row r="63" ht="32" customHeight="1">
      <c r="A63" s="38" t="n">
        <v>12</v>
      </c>
      <c r="B63" s="46" t="inlineStr">
        <is>
          <t>Taper</t>
        </is>
      </c>
      <c r="C63" s="39" t="n">
        <v>5</v>
      </c>
      <c r="D63" s="74" t="inlineStr">
        <is>
          <t>Saturday — Squat variant + Bent-over row</t>
        </is>
      </c>
      <c r="E63" s="40" t="inlineStr">
        <is>
          <t>High-bar squat</t>
        </is>
      </c>
      <c r="F63" s="31" t="inlineStr">
        <is>
          <t>High-bar squat at an easy 60% of max for 2x3, plus clean rows and reverse hypers. This is a touch, not a training stimulus.</t>
        </is>
      </c>
      <c r="G63" s="41" t="inlineStr">
        <is>
          <t>[ ]</t>
        </is>
      </c>
    </row>
    <row r="64" ht="48" customHeight="1">
      <c r="A64" s="28" t="n">
        <v>13</v>
      </c>
      <c r="B64" s="47" t="inlineStr">
        <is>
          <t>Testing</t>
        </is>
      </c>
      <c r="C64" s="30" t="n">
        <v>1</v>
      </c>
      <c r="D64" s="73" t="inlineStr">
        <is>
          <t>Day 1 — Light activation</t>
        </is>
      </c>
      <c r="E64" s="31" t="inlineStr">
        <is>
          <t>Squat activation, Bench activation</t>
        </is>
      </c>
      <c r="F64" s="31" t="inlineStr">
        <is>
          <t>Squat and bench at 50% of max, RPE 5 or lower. This is just enough to wake up the patterns and confirm everything feels normal before the PR attempts.</t>
        </is>
      </c>
      <c r="G64" s="32" t="inlineStr">
        <is>
          <t>[ ]</t>
        </is>
      </c>
    </row>
    <row r="65" ht="48" customHeight="1">
      <c r="A65" s="38" t="n">
        <v>13</v>
      </c>
      <c r="B65" s="47" t="inlineStr">
        <is>
          <t>Testing</t>
        </is>
      </c>
      <c r="C65" s="39" t="n">
        <v>2</v>
      </c>
      <c r="D65" s="74" t="inlineStr">
        <is>
          <t>Day 2 — Bench PR test</t>
        </is>
      </c>
      <c r="E65" s="40" t="inlineStr">
        <is>
          <t>Bench PR attempts</t>
        </is>
      </c>
      <c r="F65" s="31" t="inlineStr">
        <is>
          <t>Bench is tested first because it recovers fastest. Attempts are based on your current max. Open around 90% of your max and only take the next attempt if the last one was clean.</t>
        </is>
      </c>
      <c r="G65" s="41" t="inlineStr">
        <is>
          <t>[ ]</t>
        </is>
      </c>
    </row>
    <row r="66" ht="32" customHeight="1">
      <c r="A66" s="28" t="n">
        <v>13</v>
      </c>
      <c r="B66" s="47" t="inlineStr">
        <is>
          <t>Testing</t>
        </is>
      </c>
      <c r="C66" s="30" t="n">
        <v>3</v>
      </c>
      <c r="D66" s="73" t="inlineStr">
        <is>
          <t>Day 3 — Rest</t>
        </is>
      </c>
      <c r="E66" s="31" t="inlineStr">
        <is>
          <t>Rest / Recovery</t>
        </is>
      </c>
      <c r="F66" s="31" t="inlineStr">
        <is>
          <t>Full rest day. No loaded lifting, so squat testing gets at least 48 hours after the bench attempts.</t>
        </is>
      </c>
      <c r="G66" s="32" t="inlineStr">
        <is>
          <t>[ ]</t>
        </is>
      </c>
    </row>
    <row r="67" ht="48" customHeight="1">
      <c r="A67" s="38" t="n">
        <v>13</v>
      </c>
      <c r="B67" s="47" t="inlineStr">
        <is>
          <t>Testing</t>
        </is>
      </c>
      <c r="C67" s="39" t="n">
        <v>4</v>
      </c>
      <c r="D67" s="74" t="inlineStr">
        <is>
          <t>Day 4 — Squat PR test</t>
        </is>
      </c>
      <c r="E67" s="40" t="inlineStr">
        <is>
          <t>Squat PR attempts</t>
        </is>
      </c>
      <c r="F67" s="31" t="inlineStr">
        <is>
          <t>Squat PR attempts, based on your current true 1RM, at least 48 hours after bench. The opener shown is about 90% of your 1RM. Don't force a grinder. A clean PR beats a missed attempt.</t>
        </is>
      </c>
      <c r="G67" s="41" t="inlineStr">
        <is>
          <t>[ ]</t>
        </is>
      </c>
    </row>
    <row r="68" ht="32" customHeight="1">
      <c r="A68" s="28" t="n">
        <v>13</v>
      </c>
      <c r="B68" s="47" t="inlineStr">
        <is>
          <t>Testing</t>
        </is>
      </c>
      <c r="C68" s="30" t="n">
        <v>5</v>
      </c>
      <c r="D68" s="73" t="inlineStr">
        <is>
          <t>Day 5 — Rest / recovery</t>
        </is>
      </c>
      <c r="E68" s="31" t="inlineStr">
        <is>
          <t>Rest / Recovery</t>
        </is>
      </c>
      <c r="F68" s="31" t="inlineStr">
        <is>
          <t>Rest day one of three before deadlift testing. Deadlift needs the most recovery of any lift.</t>
        </is>
      </c>
      <c r="G68" s="32" t="inlineStr">
        <is>
          <t>[ ]</t>
        </is>
      </c>
    </row>
    <row r="69" ht="32" customHeight="1">
      <c r="A69" s="38" t="n">
        <v>13</v>
      </c>
      <c r="B69" s="47" t="inlineStr">
        <is>
          <t>Testing</t>
        </is>
      </c>
      <c r="C69" s="39" t="n">
        <v>6</v>
      </c>
      <c r="D69" s="74" t="inlineStr">
        <is>
          <t>Day 6 — Rest / full recovery</t>
        </is>
      </c>
      <c r="E69" s="40" t="inlineStr">
        <is>
          <t>Rest / Recovery</t>
        </is>
      </c>
      <c r="F69" s="31" t="inlineStr">
        <is>
          <t>Rest day two. Full rest, no loaded lifting, so the fatigue from the squat test clears before you pull.</t>
        </is>
      </c>
      <c r="G69" s="41" t="inlineStr">
        <is>
          <t>[ ]</t>
        </is>
      </c>
    </row>
    <row r="70" ht="32" customHeight="1">
      <c r="A70" s="28" t="n">
        <v>13</v>
      </c>
      <c r="B70" s="47" t="inlineStr">
        <is>
          <t>Testing</t>
        </is>
      </c>
      <c r="C70" s="30" t="n">
        <v>7</v>
      </c>
      <c r="D70" s="73" t="inlineStr">
        <is>
          <t>Day 7 — Rest / full recovery</t>
        </is>
      </c>
      <c r="E70" s="31" t="inlineStr">
        <is>
          <t>Rest / Recovery</t>
        </is>
      </c>
      <c r="F70" s="31" t="inlineStr">
        <is>
          <t>Rest day three. This gives well over the minimum 72 hours between squat and deadlift testing.</t>
        </is>
      </c>
      <c r="G70" s="32" t="inlineStr">
        <is>
          <t>[ ]</t>
        </is>
      </c>
    </row>
    <row r="71" ht="64" customHeight="1">
      <c r="A71" s="38" t="n">
        <v>13</v>
      </c>
      <c r="B71" s="47" t="inlineStr">
        <is>
          <t>Testing</t>
        </is>
      </c>
      <c r="C71" s="39" t="n">
        <v>8</v>
      </c>
      <c r="D71" s="74" t="inlineStr">
        <is>
          <t>Day 8 — Deadlift PR test</t>
        </is>
      </c>
      <c r="E71" s="40" t="inlineStr">
        <is>
          <t>Deadlift PR attempts</t>
        </is>
      </c>
      <c r="F71" s="31" t="inlineStr">
        <is>
          <t>Deadlift PR attempts, the last test of the program. Open around 90% of your current true 1RM and only increase attempts if the last one was clean. The three rest days beforehand mean this number reflects your actual strength, not leftover fatigue from the squat test.</t>
        </is>
      </c>
      <c r="G71" s="41" t="inlineStr">
        <is>
          <t>[ ]</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5"/>
  <sheetViews>
    <sheetView showGridLines="1" workbookViewId="0">
      <selection activeCell="A1" sqref="A1"/>
    </sheetView>
  </sheetViews>
  <sheetFormatPr baseColWidth="8" defaultRowHeight="15" outlineLevelCol="0"/>
  <cols>
    <col width="21" customWidth="1" min="1" max="1"/>
    <col width="20" customWidth="1" min="2" max="2"/>
    <col width="16" customWidth="1" min="3" max="3"/>
    <col width="20" customWidth="1" min="4" max="4"/>
    <col width="24" customWidth="1" min="5" max="5"/>
    <col width="32" customWidth="1" min="6" max="6"/>
    <col width="6" customWidth="1" min="7" max="7"/>
    <col width="24" customWidth="1" min="8" max="8"/>
    <col width="46" customWidth="1" min="9" max="9"/>
    <col width="30" customWidth="1" min="10" max="10"/>
  </cols>
  <sheetData>
    <row r="1" ht="30" customHeight="1">
      <c r="A1" s="1" t="inlineStr">
        <is>
          <t>CHIKO_LIFTS : PLATE LOADING &amp; WARM-UP LADDER MATRIX</t>
        </is>
      </c>
    </row>
    <row r="2" ht="20" customHeight="1">
      <c r="A2" s="2" t="inlineStr">
        <is>
          <t>Olympic Barbell Loading Breakdown (45 lb Bar) &amp; Scientific Neural Warm-up Potentiation Ladders</t>
        </is>
      </c>
    </row>
    <row r="3"/>
    <row r="4">
      <c r="A4" s="3" t="inlineStr">
        <is>
          <t>A. OLYMPIC BARBELL PLATE LOADING CHART (45 LB BAR)</t>
        </is>
      </c>
      <c r="H4" s="3" t="inlineStr">
        <is>
          <t>B. APP WARM-UP LADDER PROTOCOL</t>
        </is>
      </c>
    </row>
    <row r="5" ht="24" customHeight="1">
      <c r="A5" s="4" t="inlineStr">
        <is>
          <t>Total Weight (lbs)</t>
        </is>
      </c>
      <c r="B5" s="4" t="inlineStr">
        <is>
          <t>Weight Per Side</t>
        </is>
      </c>
      <c r="C5" s="4" t="inlineStr">
        <is>
          <t>45 lb Plates</t>
        </is>
      </c>
      <c r="D5" s="4" t="inlineStr">
        <is>
          <t>35 &amp; 25 lb Plates</t>
        </is>
      </c>
      <c r="E5" s="4" t="inlineStr">
        <is>
          <t>10, 5 &amp; 2.5 lb Plates</t>
        </is>
      </c>
      <c r="F5" s="4" t="inlineStr">
        <is>
          <t>Quick Load String</t>
        </is>
      </c>
      <c r="H5" s="4" t="inlineStr">
        <is>
          <t>Step</t>
        </is>
      </c>
      <c r="I5" s="4" t="inlineStr">
        <is>
          <t>Prescription Target</t>
        </is>
      </c>
      <c r="J5" s="4" t="inlineStr">
        <is>
          <t>Rep Scheme</t>
        </is>
      </c>
    </row>
    <row r="6" ht="24" customHeight="1">
      <c r="A6" s="28" t="n">
        <v>95</v>
      </c>
      <c r="B6" s="30" t="n">
        <v>25</v>
      </c>
      <c r="C6" s="32" t="inlineStr">
        <is>
          <t>-</t>
        </is>
      </c>
      <c r="D6" s="30" t="inlineStr">
        <is>
          <t>1x25</t>
        </is>
      </c>
      <c r="E6" s="32" t="inlineStr">
        <is>
          <t>-</t>
        </is>
      </c>
      <c r="F6" s="73" t="inlineStr">
        <is>
          <t>1x25 / side</t>
        </is>
      </c>
      <c r="H6" s="6" t="inlineStr">
        <is>
          <t>Step 1: Empty Bar</t>
        </is>
      </c>
      <c r="I6" s="64" t="inlineStr">
        <is>
          <t>45 lbs</t>
        </is>
      </c>
      <c r="J6" s="13" t="inlineStr">
        <is>
          <t>10 reps (Groove bar path)</t>
        </is>
      </c>
    </row>
    <row r="7" ht="24" customHeight="1">
      <c r="A7" s="38" t="n">
        <v>115</v>
      </c>
      <c r="B7" s="39" t="n">
        <v>35</v>
      </c>
      <c r="C7" s="32" t="inlineStr">
        <is>
          <t>-</t>
        </is>
      </c>
      <c r="D7" s="39" t="inlineStr">
        <is>
          <t>1x35</t>
        </is>
      </c>
      <c r="E7" s="41" t="inlineStr">
        <is>
          <t>-</t>
        </is>
      </c>
      <c r="F7" s="73" t="inlineStr">
        <is>
          <t>1x35 / side</t>
        </is>
      </c>
      <c r="H7" s="6" t="inlineStr">
        <is>
          <t>Step 2: 1st Jump</t>
        </is>
      </c>
      <c r="I7" s="64" t="inlineStr">
        <is>
          <t>Bench: 95-135 lbs / Squat &amp; DL: 135-185 lbs</t>
        </is>
      </c>
      <c r="J7" s="13" t="inlineStr">
        <is>
          <t>5 reps (Rhythm &amp; bar speed)</t>
        </is>
      </c>
    </row>
    <row r="8" ht="24" customHeight="1">
      <c r="A8" s="28" t="n">
        <v>135</v>
      </c>
      <c r="B8" s="30" t="n">
        <v>45</v>
      </c>
      <c r="C8" s="28" t="inlineStr">
        <is>
          <t>1 plate(s)</t>
        </is>
      </c>
      <c r="D8" s="32" t="inlineStr">
        <is>
          <t>-</t>
        </is>
      </c>
      <c r="E8" s="32" t="inlineStr">
        <is>
          <t>-</t>
        </is>
      </c>
      <c r="F8" s="73" t="inlineStr">
        <is>
          <t>1x45 / side</t>
        </is>
      </c>
      <c r="H8" s="6" t="inlineStr">
        <is>
          <t>Step 3: Moderate Load</t>
        </is>
      </c>
      <c r="I8" s="64" t="inlineStr">
        <is>
          <t>40% - 60% of Target Working Weight</t>
        </is>
      </c>
      <c r="J8" s="13" t="inlineStr">
        <is>
          <t>5 reps (Explosive intent)</t>
        </is>
      </c>
    </row>
    <row r="9" ht="24" customHeight="1">
      <c r="A9" s="38" t="n">
        <v>155</v>
      </c>
      <c r="B9" s="39" t="n">
        <v>55</v>
      </c>
      <c r="C9" s="28" t="inlineStr">
        <is>
          <t>1 plate(s)</t>
        </is>
      </c>
      <c r="D9" s="41" t="inlineStr">
        <is>
          <t>-</t>
        </is>
      </c>
      <c r="E9" s="39" t="inlineStr">
        <is>
          <t>1x10</t>
        </is>
      </c>
      <c r="F9" s="73" t="inlineStr">
        <is>
          <t>1x45 + 1x10 / side</t>
        </is>
      </c>
      <c r="H9" s="6" t="inlineStr">
        <is>
          <t>Step 4: Potentiation</t>
        </is>
      </c>
      <c r="I9" s="64" t="inlineStr">
        <is>
          <t>75% - 80% of Target Working Weight</t>
        </is>
      </c>
      <c r="J9" s="13" t="inlineStr">
        <is>
          <t>3 reps (Zero grind)</t>
        </is>
      </c>
    </row>
    <row r="10" ht="24" customHeight="1">
      <c r="A10" s="28" t="n">
        <v>175</v>
      </c>
      <c r="B10" s="30" t="n">
        <v>65</v>
      </c>
      <c r="C10" s="28" t="inlineStr">
        <is>
          <t>1 plate(s)</t>
        </is>
      </c>
      <c r="D10" s="32" t="inlineStr">
        <is>
          <t>-</t>
        </is>
      </c>
      <c r="E10" s="30" t="inlineStr">
        <is>
          <t>2x10</t>
        </is>
      </c>
      <c r="F10" s="73" t="inlineStr">
        <is>
          <t>1x45 + 2x10 / side</t>
        </is>
      </c>
      <c r="H10" s="6" t="inlineStr">
        <is>
          <t>Step 5: Primer Single</t>
        </is>
      </c>
      <c r="I10" s="64" t="inlineStr">
        <is>
          <t>90% of Target Working Weight (if heavy)</t>
        </is>
      </c>
      <c r="J10" s="13" t="inlineStr">
        <is>
          <t>1 rep (Crisp acclimation)</t>
        </is>
      </c>
    </row>
    <row r="11" ht="24" customHeight="1">
      <c r="A11" s="38" t="n">
        <v>185</v>
      </c>
      <c r="B11" s="39" t="n">
        <v>70</v>
      </c>
      <c r="C11" s="28" t="inlineStr">
        <is>
          <t>1 plate(s)</t>
        </is>
      </c>
      <c r="D11" s="39" t="inlineStr">
        <is>
          <t>1x25</t>
        </is>
      </c>
      <c r="E11" s="41" t="inlineStr">
        <is>
          <t>-</t>
        </is>
      </c>
      <c r="F11" s="73" t="inlineStr">
        <is>
          <t>1x45 + 1x25 / side</t>
        </is>
      </c>
      <c r="H11" s="75" t="inlineStr">
        <is>
          <t>Working Sets</t>
        </is>
      </c>
      <c r="I11" s="76" t="inlineStr">
        <is>
          <t>Target Programmed Weight &amp; RPE</t>
        </is>
      </c>
      <c r="J11" s="75" t="inlineStr">
        <is>
          <t>Prescribed Sets x Reps</t>
        </is>
      </c>
    </row>
    <row r="12" ht="20" customHeight="1">
      <c r="A12" s="28" t="n">
        <v>205</v>
      </c>
      <c r="B12" s="30" t="n">
        <v>80</v>
      </c>
      <c r="C12" s="28" t="inlineStr">
        <is>
          <t>1 plate(s)</t>
        </is>
      </c>
      <c r="D12" s="30" t="inlineStr">
        <is>
          <t>1x35</t>
        </is>
      </c>
      <c r="E12" s="32" t="inlineStr">
        <is>
          <t>-</t>
        </is>
      </c>
      <c r="F12" s="73" t="inlineStr">
        <is>
          <t>1x45 + 1x35 / side</t>
        </is>
      </c>
    </row>
    <row r="13" ht="20" customHeight="1">
      <c r="A13" s="38" t="n">
        <v>215</v>
      </c>
      <c r="B13" s="39" t="n">
        <v>85</v>
      </c>
      <c r="C13" s="28" t="inlineStr">
        <is>
          <t>1 plate(s)</t>
        </is>
      </c>
      <c r="D13" s="39" t="inlineStr">
        <is>
          <t>1x35</t>
        </is>
      </c>
      <c r="E13" s="39" t="inlineStr">
        <is>
          <t>1x5</t>
        </is>
      </c>
      <c r="F13" s="73" t="inlineStr">
        <is>
          <t>1x45 + 1x35 + 1x5 / side</t>
        </is>
      </c>
      <c r="H13" s="5" t="inlineStr">
        <is>
          <t>COACHING TIP: WARM-UP DISCIPLINE</t>
        </is>
      </c>
    </row>
    <row r="14" ht="20" customHeight="1">
      <c r="A14" s="28" t="n">
        <v>225</v>
      </c>
      <c r="B14" s="30" t="n">
        <v>90</v>
      </c>
      <c r="C14" s="77" t="inlineStr">
        <is>
          <t>2 plate(s)</t>
        </is>
      </c>
      <c r="D14" s="32" t="inlineStr">
        <is>
          <t>-</t>
        </is>
      </c>
      <c r="E14" s="32" t="inlineStr">
        <is>
          <t>-</t>
        </is>
      </c>
      <c r="F14" s="73" t="inlineStr">
        <is>
          <t>2x45 / side</t>
        </is>
      </c>
      <c r="H14" s="10" t="inlineStr">
        <is>
          <t>• Warm-ups exist to grease the groove, potentiate high-threshold motor units, and test joint readiness.
• Never take warm-ups to failure or accumulate lactic fatigue.
• Keep rest periods brief on early sets (60s), extending to 2-3 minutes before the final primer single and first working set.
• If bar speed feels sluggish during warm-ups, respect the 5% autoregulation drop rule on working sets.</t>
        </is>
      </c>
    </row>
    <row r="15" ht="20" customHeight="1">
      <c r="A15" s="38" t="n">
        <v>245</v>
      </c>
      <c r="B15" s="39" t="n">
        <v>100</v>
      </c>
      <c r="C15" s="77" t="inlineStr">
        <is>
          <t>2 plate(s)</t>
        </is>
      </c>
      <c r="D15" s="41" t="inlineStr">
        <is>
          <t>-</t>
        </is>
      </c>
      <c r="E15" s="39" t="inlineStr">
        <is>
          <t>1x10</t>
        </is>
      </c>
      <c r="F15" s="73" t="inlineStr">
        <is>
          <t>2x45 + 1x10 / side</t>
        </is>
      </c>
    </row>
    <row r="16" ht="20" customHeight="1">
      <c r="A16" s="28" t="n">
        <v>265</v>
      </c>
      <c r="B16" s="30" t="n">
        <v>110</v>
      </c>
      <c r="C16" s="77" t="inlineStr">
        <is>
          <t>2 plate(s)</t>
        </is>
      </c>
      <c r="D16" s="32" t="inlineStr">
        <is>
          <t>-</t>
        </is>
      </c>
      <c r="E16" s="30" t="inlineStr">
        <is>
          <t>2x10</t>
        </is>
      </c>
      <c r="F16" s="73" t="inlineStr">
        <is>
          <t>2x45 + 2x10 / side</t>
        </is>
      </c>
    </row>
    <row r="17" ht="20" customHeight="1">
      <c r="A17" s="38" t="n">
        <v>275</v>
      </c>
      <c r="B17" s="39" t="n">
        <v>115</v>
      </c>
      <c r="C17" s="77" t="inlineStr">
        <is>
          <t>2 plate(s)</t>
        </is>
      </c>
      <c r="D17" s="39" t="inlineStr">
        <is>
          <t>1x25</t>
        </is>
      </c>
      <c r="E17" s="41" t="inlineStr">
        <is>
          <t>-</t>
        </is>
      </c>
      <c r="F17" s="73" t="inlineStr">
        <is>
          <t>2x45 + 1x25 / side</t>
        </is>
      </c>
    </row>
    <row r="18" ht="20" customHeight="1">
      <c r="A18" s="28" t="n">
        <v>295</v>
      </c>
      <c r="B18" s="30" t="n">
        <v>125</v>
      </c>
      <c r="C18" s="77" t="inlineStr">
        <is>
          <t>2 plate(s)</t>
        </is>
      </c>
      <c r="D18" s="30" t="inlineStr">
        <is>
          <t>1x35</t>
        </is>
      </c>
      <c r="E18" s="32" t="inlineStr">
        <is>
          <t>-</t>
        </is>
      </c>
      <c r="F18" s="73" t="inlineStr">
        <is>
          <t>2x45 + 1x35 / side</t>
        </is>
      </c>
    </row>
    <row r="19" ht="20" customHeight="1">
      <c r="A19" s="38" t="n">
        <v>305</v>
      </c>
      <c r="B19" s="39" t="n">
        <v>130</v>
      </c>
      <c r="C19" s="77" t="inlineStr">
        <is>
          <t>2 plate(s)</t>
        </is>
      </c>
      <c r="D19" s="39" t="inlineStr">
        <is>
          <t>1x35</t>
        </is>
      </c>
      <c r="E19" s="39" t="inlineStr">
        <is>
          <t>1x5</t>
        </is>
      </c>
      <c r="F19" s="73" t="inlineStr">
        <is>
          <t>2x45 + 1x35 + 1x5 / side</t>
        </is>
      </c>
    </row>
    <row r="20" ht="20" customHeight="1">
      <c r="A20" s="28" t="n">
        <v>315</v>
      </c>
      <c r="B20" s="30" t="n">
        <v>135</v>
      </c>
      <c r="C20" s="77" t="inlineStr">
        <is>
          <t>3 plate(s)</t>
        </is>
      </c>
      <c r="D20" s="32" t="inlineStr">
        <is>
          <t>-</t>
        </is>
      </c>
      <c r="E20" s="32" t="inlineStr">
        <is>
          <t>-</t>
        </is>
      </c>
      <c r="F20" s="73" t="inlineStr">
        <is>
          <t>3x45 / side</t>
        </is>
      </c>
    </row>
    <row r="21" ht="20" customHeight="1">
      <c r="A21" s="38" t="n">
        <v>335</v>
      </c>
      <c r="B21" s="39" t="n">
        <v>145</v>
      </c>
      <c r="C21" s="77" t="inlineStr">
        <is>
          <t>3 plate(s)</t>
        </is>
      </c>
      <c r="D21" s="41" t="inlineStr">
        <is>
          <t>-</t>
        </is>
      </c>
      <c r="E21" s="39" t="inlineStr">
        <is>
          <t>1x10</t>
        </is>
      </c>
      <c r="F21" s="73" t="inlineStr">
        <is>
          <t>3x45 + 1x10 / side</t>
        </is>
      </c>
    </row>
    <row r="22" ht="20" customHeight="1">
      <c r="A22" s="28" t="n">
        <v>355</v>
      </c>
      <c r="B22" s="30" t="n">
        <v>155</v>
      </c>
      <c r="C22" s="77" t="inlineStr">
        <is>
          <t>3 plate(s)</t>
        </is>
      </c>
      <c r="D22" s="32" t="inlineStr">
        <is>
          <t>-</t>
        </is>
      </c>
      <c r="E22" s="30" t="inlineStr">
        <is>
          <t>2x10</t>
        </is>
      </c>
      <c r="F22" s="73" t="inlineStr">
        <is>
          <t>3x45 + 2x10 / side</t>
        </is>
      </c>
    </row>
    <row r="23" ht="20" customHeight="1">
      <c r="A23" s="38" t="n">
        <v>365</v>
      </c>
      <c r="B23" s="39" t="n">
        <v>160</v>
      </c>
      <c r="C23" s="77" t="inlineStr">
        <is>
          <t>3 plate(s)</t>
        </is>
      </c>
      <c r="D23" s="39" t="inlineStr">
        <is>
          <t>1x25</t>
        </is>
      </c>
      <c r="E23" s="41" t="inlineStr">
        <is>
          <t>-</t>
        </is>
      </c>
      <c r="F23" s="73" t="inlineStr">
        <is>
          <t>3x45 + 1x25 / side</t>
        </is>
      </c>
    </row>
    <row r="24" ht="20" customHeight="1">
      <c r="A24" s="28" t="n">
        <v>385</v>
      </c>
      <c r="B24" s="30" t="n">
        <v>170</v>
      </c>
      <c r="C24" s="77" t="inlineStr">
        <is>
          <t>3 plate(s)</t>
        </is>
      </c>
      <c r="D24" s="30" t="inlineStr">
        <is>
          <t>1x35</t>
        </is>
      </c>
      <c r="E24" s="32" t="inlineStr">
        <is>
          <t>-</t>
        </is>
      </c>
      <c r="F24" s="73" t="inlineStr">
        <is>
          <t>3x45 + 1x35 / side</t>
        </is>
      </c>
    </row>
    <row r="25" ht="20" customHeight="1">
      <c r="A25" s="38" t="n">
        <v>405</v>
      </c>
      <c r="B25" s="39" t="n">
        <v>180</v>
      </c>
      <c r="C25" s="77" t="inlineStr">
        <is>
          <t>4 plate(s)</t>
        </is>
      </c>
      <c r="D25" s="41" t="inlineStr">
        <is>
          <t>-</t>
        </is>
      </c>
      <c r="E25" s="41" t="inlineStr">
        <is>
          <t>-</t>
        </is>
      </c>
      <c r="F25" s="73" t="inlineStr">
        <is>
          <t>4x45 / side</t>
        </is>
      </c>
    </row>
    <row r="26" ht="20" customHeight="1">
      <c r="A26" s="28" t="n">
        <v>425</v>
      </c>
      <c r="B26" s="30" t="n">
        <v>190</v>
      </c>
      <c r="C26" s="77" t="inlineStr">
        <is>
          <t>4 plate(s)</t>
        </is>
      </c>
      <c r="D26" s="32" t="inlineStr">
        <is>
          <t>-</t>
        </is>
      </c>
      <c r="E26" s="30" t="inlineStr">
        <is>
          <t>1x10</t>
        </is>
      </c>
      <c r="F26" s="73" t="inlineStr">
        <is>
          <t>4x45 + 1x10 / side</t>
        </is>
      </c>
    </row>
    <row r="27" ht="20" customHeight="1">
      <c r="A27" s="38" t="n">
        <v>445</v>
      </c>
      <c r="B27" s="39" t="n">
        <v>200</v>
      </c>
      <c r="C27" s="77" t="inlineStr">
        <is>
          <t>4 plate(s)</t>
        </is>
      </c>
      <c r="D27" s="41" t="inlineStr">
        <is>
          <t>-</t>
        </is>
      </c>
      <c r="E27" s="39" t="inlineStr">
        <is>
          <t>2x10</t>
        </is>
      </c>
      <c r="F27" s="73" t="inlineStr">
        <is>
          <t>4x45 + 2x10 / side</t>
        </is>
      </c>
    </row>
    <row r="28" ht="20" customHeight="1">
      <c r="A28" s="28" t="n">
        <v>455</v>
      </c>
      <c r="B28" s="30" t="n">
        <v>205</v>
      </c>
      <c r="C28" s="77" t="inlineStr">
        <is>
          <t>4 plate(s)</t>
        </is>
      </c>
      <c r="D28" s="30" t="inlineStr">
        <is>
          <t>1x25</t>
        </is>
      </c>
      <c r="E28" s="32" t="inlineStr">
        <is>
          <t>-</t>
        </is>
      </c>
      <c r="F28" s="73" t="inlineStr">
        <is>
          <t>4x45 + 1x25 / side</t>
        </is>
      </c>
    </row>
    <row r="29" ht="20" customHeight="1">
      <c r="A29" s="38" t="n">
        <v>475</v>
      </c>
      <c r="B29" s="39" t="n">
        <v>215</v>
      </c>
      <c r="C29" s="77" t="inlineStr">
        <is>
          <t>4 plate(s)</t>
        </is>
      </c>
      <c r="D29" s="39" t="inlineStr">
        <is>
          <t>1x35</t>
        </is>
      </c>
      <c r="E29" s="41" t="inlineStr">
        <is>
          <t>-</t>
        </is>
      </c>
      <c r="F29" s="73" t="inlineStr">
        <is>
          <t>4x45 + 1x35 / side</t>
        </is>
      </c>
    </row>
    <row r="30" ht="20" customHeight="1">
      <c r="A30" s="28" t="n">
        <v>495</v>
      </c>
      <c r="B30" s="30" t="n">
        <v>225</v>
      </c>
      <c r="C30" s="77" t="inlineStr">
        <is>
          <t>5 plate(s)</t>
        </is>
      </c>
      <c r="D30" s="32" t="inlineStr">
        <is>
          <t>-</t>
        </is>
      </c>
      <c r="E30" s="32" t="inlineStr">
        <is>
          <t>-</t>
        </is>
      </c>
      <c r="F30" s="73" t="inlineStr">
        <is>
          <t>5x45 / side</t>
        </is>
      </c>
    </row>
    <row r="31" ht="20" customHeight="1">
      <c r="A31" s="38" t="n">
        <v>515</v>
      </c>
      <c r="B31" s="39" t="n">
        <v>235</v>
      </c>
      <c r="C31" s="77" t="inlineStr">
        <is>
          <t>5 plate(s)</t>
        </is>
      </c>
      <c r="D31" s="41" t="inlineStr">
        <is>
          <t>-</t>
        </is>
      </c>
      <c r="E31" s="39" t="inlineStr">
        <is>
          <t>1x10</t>
        </is>
      </c>
      <c r="F31" s="73" t="inlineStr">
        <is>
          <t>5x45 + 1x10 / side</t>
        </is>
      </c>
    </row>
    <row r="32" ht="20" customHeight="1">
      <c r="A32" s="28" t="n">
        <v>535</v>
      </c>
      <c r="B32" s="30" t="n">
        <v>245</v>
      </c>
      <c r="C32" s="77" t="inlineStr">
        <is>
          <t>5 plate(s)</t>
        </is>
      </c>
      <c r="D32" s="32" t="inlineStr">
        <is>
          <t>-</t>
        </is>
      </c>
      <c r="E32" s="30" t="inlineStr">
        <is>
          <t>2x10</t>
        </is>
      </c>
      <c r="F32" s="73" t="inlineStr">
        <is>
          <t>5x45 + 2x10 / side</t>
        </is>
      </c>
    </row>
    <row r="33" ht="20" customHeight="1">
      <c r="A33" s="38" t="n">
        <v>545</v>
      </c>
      <c r="B33" s="39" t="n">
        <v>250</v>
      </c>
      <c r="C33" s="77" t="inlineStr">
        <is>
          <t>5 plate(s)</t>
        </is>
      </c>
      <c r="D33" s="39" t="inlineStr">
        <is>
          <t>1x25</t>
        </is>
      </c>
      <c r="E33" s="41" t="inlineStr">
        <is>
          <t>-</t>
        </is>
      </c>
      <c r="F33" s="73" t="inlineStr">
        <is>
          <t>5x45 + 1x25 / side</t>
        </is>
      </c>
    </row>
    <row r="34" ht="20" customHeight="1">
      <c r="A34" s="28" t="n">
        <v>565</v>
      </c>
      <c r="B34" s="30" t="n">
        <v>260</v>
      </c>
      <c r="C34" s="77" t="inlineStr">
        <is>
          <t>5 plate(s)</t>
        </is>
      </c>
      <c r="D34" s="30" t="inlineStr">
        <is>
          <t>1x35</t>
        </is>
      </c>
      <c r="E34" s="32" t="inlineStr">
        <is>
          <t>-</t>
        </is>
      </c>
      <c r="F34" s="73" t="inlineStr">
        <is>
          <t>5x45 + 1x35 / side</t>
        </is>
      </c>
    </row>
    <row r="35" ht="20" customHeight="1">
      <c r="A35" s="38" t="n">
        <v>585</v>
      </c>
      <c r="B35" s="39" t="n">
        <v>270</v>
      </c>
      <c r="C35" s="77" t="inlineStr">
        <is>
          <t>6 plate(s)</t>
        </is>
      </c>
      <c r="D35" s="41" t="inlineStr">
        <is>
          <t>-</t>
        </is>
      </c>
      <c r="E35" s="41" t="inlineStr">
        <is>
          <t>-</t>
        </is>
      </c>
      <c r="F35" s="73" t="inlineStr">
        <is>
          <t>6x45 / side</t>
        </is>
      </c>
    </row>
  </sheetData>
  <mergeCells count="6">
    <mergeCell ref="A1:J1"/>
    <mergeCell ref="H14:J17"/>
    <mergeCell ref="H13:J13"/>
    <mergeCell ref="H4:J4"/>
    <mergeCell ref="A4:F4"/>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2026-10-15T00:22:19Z</dcterms:created>
  <dcterms:modified xmlns:dcterms="http://purl.org/dc/terms/" xmlns:xsi="http://www.w3.org/2001/XMLSchema-instance" xsi:type="dcterms:W3CDTF">2026-10-15T00:22:20Z</dcterms:modified>
</cp:coreProperties>
</file>